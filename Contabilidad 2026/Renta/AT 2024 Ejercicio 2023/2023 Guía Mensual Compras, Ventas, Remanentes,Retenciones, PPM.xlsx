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F:\Brzovic Cabrera Ltda\Brzovic Cabrera Ltda\Impuestos\Renta\2023 AT 2024\"/>
    </mc:Choice>
  </mc:AlternateContent>
  <xr:revisionPtr revIDLastSave="0" documentId="13_ncr:1_{28878BD6-2CFB-4105-B726-AE13786EE18E}" xr6:coauthVersionLast="47" xr6:coauthVersionMax="47" xr10:uidLastSave="{00000000-0000-0000-0000-000000000000}"/>
  <bookViews>
    <workbookView xWindow="-120" yWindow="-120" windowWidth="29040" windowHeight="15840" tabRatio="952" xr2:uid="{00000000-000D-0000-FFFF-FFFF00000000}"/>
  </bookViews>
  <sheets>
    <sheet name="Dic 23" sheetId="254" r:id="rId1"/>
    <sheet name="Nov 23" sheetId="253" r:id="rId2"/>
    <sheet name="Oct 23" sheetId="252" r:id="rId3"/>
    <sheet name="Sep 23" sheetId="251" r:id="rId4"/>
    <sheet name="Ago 23" sheetId="250" r:id="rId5"/>
    <sheet name="Jul 23" sheetId="249" r:id="rId6"/>
    <sheet name="Jun 23" sheetId="248" r:id="rId7"/>
    <sheet name="May 23" sheetId="247" r:id="rId8"/>
    <sheet name="Abr 23" sheetId="246" r:id="rId9"/>
    <sheet name="Mar 23" sheetId="245" r:id="rId10"/>
    <sheet name="Feb 23" sheetId="244" r:id="rId11"/>
    <sheet name="Ene 23" sheetId="243" r:id="rId12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1" i="254" l="1"/>
  <c r="AB52" i="254" s="1"/>
  <c r="AA51" i="254"/>
  <c r="AA52" i="254" s="1"/>
  <c r="Z51" i="254"/>
  <c r="Z52" i="254" s="1"/>
  <c r="Y51" i="254"/>
  <c r="Y52" i="254" s="1"/>
  <c r="X51" i="254"/>
  <c r="X52" i="254" s="1"/>
  <c r="V51" i="254"/>
  <c r="V52" i="254" s="1"/>
  <c r="S51" i="254"/>
  <c r="S52" i="254" s="1"/>
  <c r="R51" i="254"/>
  <c r="R52" i="254" s="1"/>
  <c r="Q51" i="254"/>
  <c r="Q52" i="254" s="1"/>
  <c r="O51" i="254"/>
  <c r="O52" i="254" s="1"/>
  <c r="N51" i="254"/>
  <c r="N52" i="254" s="1"/>
  <c r="M51" i="254"/>
  <c r="M52" i="254" s="1"/>
  <c r="L51" i="254"/>
  <c r="L52" i="254" s="1"/>
  <c r="H51" i="254"/>
  <c r="H52" i="254" s="1"/>
  <c r="W50" i="254"/>
  <c r="T50" i="254"/>
  <c r="U50" i="254" s="1"/>
  <c r="P50" i="254"/>
  <c r="I50" i="254"/>
  <c r="J50" i="254" s="1"/>
  <c r="W49" i="254"/>
  <c r="T49" i="254"/>
  <c r="U49" i="254" s="1"/>
  <c r="P49" i="254"/>
  <c r="J49" i="254"/>
  <c r="W48" i="254"/>
  <c r="T48" i="254"/>
  <c r="U48" i="254" s="1"/>
  <c r="P48" i="254"/>
  <c r="I48" i="254"/>
  <c r="J48" i="254" s="1"/>
  <c r="W47" i="254"/>
  <c r="T47" i="254"/>
  <c r="U47" i="254" s="1"/>
  <c r="P47" i="254"/>
  <c r="I47" i="254"/>
  <c r="J47" i="254" s="1"/>
  <c r="W46" i="254"/>
  <c r="T46" i="254"/>
  <c r="U46" i="254" s="1"/>
  <c r="P46" i="254"/>
  <c r="J46" i="254"/>
  <c r="W45" i="254"/>
  <c r="T45" i="254"/>
  <c r="U45" i="254" s="1"/>
  <c r="P45" i="254"/>
  <c r="I45" i="254"/>
  <c r="J45" i="254" s="1"/>
  <c r="W44" i="254"/>
  <c r="T44" i="254"/>
  <c r="U44" i="254" s="1"/>
  <c r="P44" i="254"/>
  <c r="I44" i="254"/>
  <c r="J44" i="254" s="1"/>
  <c r="W43" i="254"/>
  <c r="T43" i="254"/>
  <c r="U43" i="254" s="1"/>
  <c r="P43" i="254"/>
  <c r="I43" i="254"/>
  <c r="J43" i="254" s="1"/>
  <c r="W42" i="254"/>
  <c r="T42" i="254"/>
  <c r="U42" i="254" s="1"/>
  <c r="P42" i="254"/>
  <c r="I42" i="254"/>
  <c r="J42" i="254" s="1"/>
  <c r="W41" i="254"/>
  <c r="T41" i="254"/>
  <c r="U41" i="254" s="1"/>
  <c r="P41" i="254"/>
  <c r="I41" i="254"/>
  <c r="J41" i="254" s="1"/>
  <c r="W40" i="254"/>
  <c r="T40" i="254"/>
  <c r="U40" i="254" s="1"/>
  <c r="P40" i="254"/>
  <c r="J40" i="254"/>
  <c r="W39" i="254"/>
  <c r="T39" i="254"/>
  <c r="U39" i="254" s="1"/>
  <c r="P39" i="254"/>
  <c r="I39" i="254"/>
  <c r="J39" i="254" s="1"/>
  <c r="L35" i="254"/>
  <c r="M34" i="254"/>
  <c r="N34" i="254" s="1"/>
  <c r="M33" i="254"/>
  <c r="M35" i="254" s="1"/>
  <c r="F46" i="254" s="1"/>
  <c r="O28" i="254"/>
  <c r="M28" i="254"/>
  <c r="L28" i="254"/>
  <c r="N27" i="254"/>
  <c r="P27" i="254" s="1"/>
  <c r="N26" i="254"/>
  <c r="P26" i="254" s="1"/>
  <c r="O25" i="254"/>
  <c r="O29" i="254" s="1"/>
  <c r="N25" i="254"/>
  <c r="F43" i="254" s="1"/>
  <c r="M25" i="254"/>
  <c r="L25" i="254"/>
  <c r="P24" i="254"/>
  <c r="P23" i="254"/>
  <c r="L18" i="254"/>
  <c r="M17" i="254"/>
  <c r="N17" i="254" s="1"/>
  <c r="M16" i="254"/>
  <c r="M18" i="254" s="1"/>
  <c r="L15" i="254"/>
  <c r="M14" i="254"/>
  <c r="N14" i="254" s="1"/>
  <c r="M13" i="254"/>
  <c r="L12" i="254"/>
  <c r="M11" i="254"/>
  <c r="N11" i="254" s="1"/>
  <c r="M10" i="254"/>
  <c r="N10" i="254" s="1"/>
  <c r="M9" i="254"/>
  <c r="N9" i="254" s="1"/>
  <c r="M8" i="254"/>
  <c r="N8" i="254" s="1"/>
  <c r="M7" i="254"/>
  <c r="N7" i="254" s="1"/>
  <c r="M6" i="254"/>
  <c r="M5" i="254"/>
  <c r="N5" i="254" s="1"/>
  <c r="L29" i="254" l="1"/>
  <c r="P28" i="254"/>
  <c r="M29" i="254"/>
  <c r="P51" i="254"/>
  <c r="P52" i="254" s="1"/>
  <c r="J51" i="254"/>
  <c r="J52" i="254" s="1"/>
  <c r="L19" i="254"/>
  <c r="M15" i="254"/>
  <c r="F40" i="254" s="1"/>
  <c r="N13" i="254"/>
  <c r="N15" i="254" s="1"/>
  <c r="M12" i="254"/>
  <c r="P25" i="254"/>
  <c r="P29" i="254" s="1"/>
  <c r="W51" i="254"/>
  <c r="W52" i="254" s="1"/>
  <c r="U51" i="254"/>
  <c r="U52" i="254" s="1"/>
  <c r="F39" i="254"/>
  <c r="F47" i="254"/>
  <c r="F38" i="254"/>
  <c r="N28" i="254"/>
  <c r="I51" i="254"/>
  <c r="I52" i="254" s="1"/>
  <c r="N6" i="254"/>
  <c r="N12" i="254" s="1"/>
  <c r="T51" i="254"/>
  <c r="T52" i="254" s="1"/>
  <c r="N16" i="254"/>
  <c r="N18" i="254" s="1"/>
  <c r="N33" i="254"/>
  <c r="N35" i="254" s="1"/>
  <c r="AA47" i="253"/>
  <c r="AB46" i="253"/>
  <c r="AB47" i="253" s="1"/>
  <c r="AA46" i="253"/>
  <c r="Z46" i="253"/>
  <c r="Z47" i="253" s="1"/>
  <c r="Y46" i="253"/>
  <c r="Y47" i="253" s="1"/>
  <c r="X46" i="253"/>
  <c r="X47" i="253" s="1"/>
  <c r="V46" i="253"/>
  <c r="V47" i="253" s="1"/>
  <c r="S46" i="253"/>
  <c r="S47" i="253" s="1"/>
  <c r="R46" i="253"/>
  <c r="R47" i="253" s="1"/>
  <c r="Q46" i="253"/>
  <c r="Q47" i="253" s="1"/>
  <c r="O46" i="253"/>
  <c r="O47" i="253" s="1"/>
  <c r="N46" i="253"/>
  <c r="N47" i="253" s="1"/>
  <c r="M46" i="253"/>
  <c r="M47" i="253" s="1"/>
  <c r="L46" i="253"/>
  <c r="L47" i="253" s="1"/>
  <c r="H46" i="253"/>
  <c r="H47" i="253" s="1"/>
  <c r="W45" i="253"/>
  <c r="T45" i="253"/>
  <c r="U45" i="253" s="1"/>
  <c r="P45" i="253"/>
  <c r="I45" i="253"/>
  <c r="J45" i="253" s="1"/>
  <c r="W44" i="253"/>
  <c r="T44" i="253"/>
  <c r="U44" i="253" s="1"/>
  <c r="P44" i="253"/>
  <c r="J44" i="253"/>
  <c r="W43" i="253"/>
  <c r="T43" i="253"/>
  <c r="U43" i="253" s="1"/>
  <c r="P43" i="253"/>
  <c r="I43" i="253"/>
  <c r="J43" i="253" s="1"/>
  <c r="W42" i="253"/>
  <c r="T42" i="253"/>
  <c r="U42" i="253" s="1"/>
  <c r="P42" i="253"/>
  <c r="I42" i="253"/>
  <c r="J42" i="253" s="1"/>
  <c r="W41" i="253"/>
  <c r="T41" i="253"/>
  <c r="U41" i="253" s="1"/>
  <c r="P41" i="253"/>
  <c r="J41" i="253"/>
  <c r="W40" i="253"/>
  <c r="T40" i="253"/>
  <c r="U40" i="253" s="1"/>
  <c r="P40" i="253"/>
  <c r="I40" i="253"/>
  <c r="J40" i="253" s="1"/>
  <c r="W39" i="253"/>
  <c r="T39" i="253"/>
  <c r="U39" i="253" s="1"/>
  <c r="P39" i="253"/>
  <c r="I39" i="253"/>
  <c r="J39" i="253" s="1"/>
  <c r="W38" i="253"/>
  <c r="T38" i="253"/>
  <c r="U38" i="253" s="1"/>
  <c r="P38" i="253"/>
  <c r="I38" i="253"/>
  <c r="J38" i="253" s="1"/>
  <c r="W37" i="253"/>
  <c r="T37" i="253"/>
  <c r="U37" i="253" s="1"/>
  <c r="P37" i="253"/>
  <c r="I37" i="253"/>
  <c r="J37" i="253" s="1"/>
  <c r="W36" i="253"/>
  <c r="U36" i="253"/>
  <c r="T36" i="253"/>
  <c r="P36" i="253"/>
  <c r="I36" i="253"/>
  <c r="J36" i="253" s="1"/>
  <c r="W35" i="253"/>
  <c r="T35" i="253"/>
  <c r="U35" i="253" s="1"/>
  <c r="P35" i="253"/>
  <c r="J35" i="253"/>
  <c r="W34" i="253"/>
  <c r="T34" i="253"/>
  <c r="P34" i="253"/>
  <c r="I34" i="253"/>
  <c r="J34" i="253" s="1"/>
  <c r="L30" i="253"/>
  <c r="M29" i="253"/>
  <c r="N29" i="253" s="1"/>
  <c r="N28" i="253"/>
  <c r="N30" i="253" s="1"/>
  <c r="M28" i="253"/>
  <c r="M30" i="253" s="1"/>
  <c r="F41" i="253" s="1"/>
  <c r="O23" i="253"/>
  <c r="O24" i="253" s="1"/>
  <c r="M23" i="253"/>
  <c r="L23" i="253"/>
  <c r="N22" i="253"/>
  <c r="P22" i="253" s="1"/>
  <c r="N21" i="253"/>
  <c r="O20" i="253"/>
  <c r="N20" i="253"/>
  <c r="F38" i="253" s="1"/>
  <c r="M20" i="253"/>
  <c r="M24" i="253" s="1"/>
  <c r="L20" i="253"/>
  <c r="P19" i="253"/>
  <c r="P18" i="253"/>
  <c r="L13" i="253"/>
  <c r="M12" i="253"/>
  <c r="N12" i="253" s="1"/>
  <c r="M11" i="253"/>
  <c r="L10" i="253"/>
  <c r="M9" i="253"/>
  <c r="N9" i="253" s="1"/>
  <c r="N8" i="253"/>
  <c r="M8" i="253"/>
  <c r="M10" i="253" s="1"/>
  <c r="F35" i="253" s="1"/>
  <c r="L7" i="253"/>
  <c r="L14" i="253" s="1"/>
  <c r="M6" i="253"/>
  <c r="M5" i="253"/>
  <c r="N5" i="253" s="1"/>
  <c r="AB49" i="252"/>
  <c r="AB50" i="252" s="1"/>
  <c r="AA49" i="252"/>
  <c r="AA50" i="252" s="1"/>
  <c r="Z49" i="252"/>
  <c r="Z50" i="252" s="1"/>
  <c r="Y49" i="252"/>
  <c r="Y50" i="252" s="1"/>
  <c r="X49" i="252"/>
  <c r="X50" i="252" s="1"/>
  <c r="V49" i="252"/>
  <c r="V50" i="252" s="1"/>
  <c r="S49" i="252"/>
  <c r="S50" i="252" s="1"/>
  <c r="R49" i="252"/>
  <c r="R50" i="252" s="1"/>
  <c r="Q49" i="252"/>
  <c r="Q50" i="252" s="1"/>
  <c r="O49" i="252"/>
  <c r="O50" i="252" s="1"/>
  <c r="N49" i="252"/>
  <c r="N50" i="252" s="1"/>
  <c r="M49" i="252"/>
  <c r="M50" i="252" s="1"/>
  <c r="L49" i="252"/>
  <c r="L50" i="252" s="1"/>
  <c r="H49" i="252"/>
  <c r="H50" i="252" s="1"/>
  <c r="W48" i="252"/>
  <c r="T48" i="252"/>
  <c r="U48" i="252" s="1"/>
  <c r="P48" i="252"/>
  <c r="I48" i="252"/>
  <c r="J48" i="252" s="1"/>
  <c r="W47" i="252"/>
  <c r="T47" i="252"/>
  <c r="U47" i="252" s="1"/>
  <c r="P47" i="252"/>
  <c r="I47" i="252"/>
  <c r="J47" i="252" s="1"/>
  <c r="W46" i="252"/>
  <c r="T46" i="252"/>
  <c r="U46" i="252" s="1"/>
  <c r="P46" i="252"/>
  <c r="I46" i="252"/>
  <c r="J46" i="252" s="1"/>
  <c r="W45" i="252"/>
  <c r="T45" i="252"/>
  <c r="U45" i="252" s="1"/>
  <c r="P45" i="252"/>
  <c r="I45" i="252"/>
  <c r="J45" i="252" s="1"/>
  <c r="W44" i="252"/>
  <c r="T44" i="252"/>
  <c r="U44" i="252" s="1"/>
  <c r="P44" i="252"/>
  <c r="J44" i="252"/>
  <c r="W43" i="252"/>
  <c r="T43" i="252"/>
  <c r="U43" i="252" s="1"/>
  <c r="P43" i="252"/>
  <c r="I43" i="252"/>
  <c r="J43" i="252" s="1"/>
  <c r="W42" i="252"/>
  <c r="T42" i="252"/>
  <c r="U42" i="252" s="1"/>
  <c r="P42" i="252"/>
  <c r="I42" i="252"/>
  <c r="W41" i="252"/>
  <c r="T41" i="252"/>
  <c r="U41" i="252" s="1"/>
  <c r="P41" i="252"/>
  <c r="I41" i="252"/>
  <c r="J41" i="252" s="1"/>
  <c r="W40" i="252"/>
  <c r="T40" i="252"/>
  <c r="U40" i="252" s="1"/>
  <c r="P40" i="252"/>
  <c r="I40" i="252"/>
  <c r="J40" i="252" s="1"/>
  <c r="W39" i="252"/>
  <c r="T39" i="252"/>
  <c r="U39" i="252" s="1"/>
  <c r="P39" i="252"/>
  <c r="I39" i="252"/>
  <c r="J39" i="252" s="1"/>
  <c r="W38" i="252"/>
  <c r="T38" i="252"/>
  <c r="U38" i="252" s="1"/>
  <c r="P38" i="252"/>
  <c r="J38" i="252"/>
  <c r="W37" i="252"/>
  <c r="T37" i="252"/>
  <c r="U37" i="252" s="1"/>
  <c r="P37" i="252"/>
  <c r="I37" i="252"/>
  <c r="J37" i="252" s="1"/>
  <c r="L33" i="252"/>
  <c r="M32" i="252"/>
  <c r="N32" i="252" s="1"/>
  <c r="M31" i="252"/>
  <c r="O26" i="252"/>
  <c r="O27" i="252" s="1"/>
  <c r="M26" i="252"/>
  <c r="L26" i="252"/>
  <c r="N25" i="252"/>
  <c r="P25" i="252" s="1"/>
  <c r="N24" i="252"/>
  <c r="P24" i="252" s="1"/>
  <c r="O23" i="252"/>
  <c r="N23" i="252"/>
  <c r="F41" i="252" s="1"/>
  <c r="M23" i="252"/>
  <c r="L23" i="252"/>
  <c r="P22" i="252"/>
  <c r="P21" i="252"/>
  <c r="L16" i="252"/>
  <c r="M15" i="252"/>
  <c r="N15" i="252" s="1"/>
  <c r="M14" i="252"/>
  <c r="L13" i="252"/>
  <c r="M12" i="252"/>
  <c r="N12" i="252" s="1"/>
  <c r="M11" i="252"/>
  <c r="L10" i="252"/>
  <c r="M9" i="252"/>
  <c r="N9" i="252" s="1"/>
  <c r="M8" i="252"/>
  <c r="N8" i="252" s="1"/>
  <c r="M7" i="252"/>
  <c r="N7" i="252" s="1"/>
  <c r="M6" i="252"/>
  <c r="N6" i="252" s="1"/>
  <c r="M5" i="252"/>
  <c r="N5" i="252" s="1"/>
  <c r="AB46" i="251"/>
  <c r="AB47" i="251" s="1"/>
  <c r="AA46" i="251"/>
  <c r="AA47" i="251" s="1"/>
  <c r="Z46" i="251"/>
  <c r="Z47" i="251" s="1"/>
  <c r="Y46" i="251"/>
  <c r="Y47" i="251" s="1"/>
  <c r="X46" i="251"/>
  <c r="X47" i="251" s="1"/>
  <c r="V46" i="251"/>
  <c r="V47" i="251" s="1"/>
  <c r="S46" i="251"/>
  <c r="S47" i="251" s="1"/>
  <c r="R46" i="251"/>
  <c r="R47" i="251" s="1"/>
  <c r="Q46" i="251"/>
  <c r="Q47" i="251" s="1"/>
  <c r="O46" i="251"/>
  <c r="O47" i="251" s="1"/>
  <c r="N46" i="251"/>
  <c r="N47" i="251" s="1"/>
  <c r="M46" i="251"/>
  <c r="M47" i="251" s="1"/>
  <c r="L46" i="251"/>
  <c r="L47" i="251" s="1"/>
  <c r="H46" i="251"/>
  <c r="H47" i="251" s="1"/>
  <c r="W45" i="251"/>
  <c r="T45" i="251"/>
  <c r="U45" i="251" s="1"/>
  <c r="P45" i="251"/>
  <c r="I45" i="251"/>
  <c r="J45" i="251" s="1"/>
  <c r="W44" i="251"/>
  <c r="T44" i="251"/>
  <c r="U44" i="251" s="1"/>
  <c r="P44" i="251"/>
  <c r="I44" i="251"/>
  <c r="J44" i="251" s="1"/>
  <c r="W43" i="251"/>
  <c r="T43" i="251"/>
  <c r="U43" i="251" s="1"/>
  <c r="P43" i="251"/>
  <c r="I43" i="251"/>
  <c r="J43" i="251" s="1"/>
  <c r="W42" i="251"/>
  <c r="T42" i="251"/>
  <c r="U42" i="251" s="1"/>
  <c r="P42" i="251"/>
  <c r="I42" i="251"/>
  <c r="J42" i="251" s="1"/>
  <c r="W41" i="251"/>
  <c r="T41" i="251"/>
  <c r="U41" i="251" s="1"/>
  <c r="P41" i="251"/>
  <c r="J41" i="251"/>
  <c r="W40" i="251"/>
  <c r="U40" i="251"/>
  <c r="T40" i="251"/>
  <c r="P40" i="251"/>
  <c r="I40" i="251"/>
  <c r="J40" i="251" s="1"/>
  <c r="W39" i="251"/>
  <c r="T39" i="251"/>
  <c r="U39" i="251" s="1"/>
  <c r="P39" i="251"/>
  <c r="J39" i="251"/>
  <c r="I39" i="251"/>
  <c r="W38" i="251"/>
  <c r="T38" i="251"/>
  <c r="U38" i="251" s="1"/>
  <c r="P38" i="251"/>
  <c r="I38" i="251"/>
  <c r="J38" i="251" s="1"/>
  <c r="W37" i="251"/>
  <c r="T37" i="251"/>
  <c r="U37" i="251" s="1"/>
  <c r="P37" i="251"/>
  <c r="I37" i="251"/>
  <c r="J37" i="251" s="1"/>
  <c r="W36" i="251"/>
  <c r="T36" i="251"/>
  <c r="U36" i="251" s="1"/>
  <c r="P36" i="251"/>
  <c r="I36" i="251"/>
  <c r="J36" i="251" s="1"/>
  <c r="W35" i="251"/>
  <c r="T35" i="251"/>
  <c r="U35" i="251" s="1"/>
  <c r="P35" i="251"/>
  <c r="J35" i="251"/>
  <c r="W34" i="251"/>
  <c r="T34" i="251"/>
  <c r="P34" i="251"/>
  <c r="J34" i="251"/>
  <c r="I34" i="251"/>
  <c r="L30" i="251"/>
  <c r="M29" i="251"/>
  <c r="M30" i="251" s="1"/>
  <c r="F41" i="251" s="1"/>
  <c r="M28" i="251"/>
  <c r="N28" i="251" s="1"/>
  <c r="O23" i="251"/>
  <c r="M23" i="251"/>
  <c r="L23" i="251"/>
  <c r="N22" i="251"/>
  <c r="P22" i="251" s="1"/>
  <c r="N21" i="251"/>
  <c r="P21" i="251" s="1"/>
  <c r="O20" i="251"/>
  <c r="N20" i="251"/>
  <c r="F38" i="251" s="1"/>
  <c r="M20" i="251"/>
  <c r="L20" i="251"/>
  <c r="P19" i="251"/>
  <c r="P18" i="251"/>
  <c r="L13" i="251"/>
  <c r="M12" i="251"/>
  <c r="N12" i="251" s="1"/>
  <c r="M11" i="251"/>
  <c r="L10" i="251"/>
  <c r="M9" i="251"/>
  <c r="N9" i="251" s="1"/>
  <c r="M8" i="251"/>
  <c r="L7" i="251"/>
  <c r="M6" i="251"/>
  <c r="N6" i="251" s="1"/>
  <c r="M5" i="251"/>
  <c r="P21" i="250"/>
  <c r="P22" i="250"/>
  <c r="P23" i="250"/>
  <c r="AA49" i="247"/>
  <c r="Z49" i="247"/>
  <c r="Y49" i="247"/>
  <c r="X49" i="247"/>
  <c r="W49" i="247"/>
  <c r="V49" i="247"/>
  <c r="U49" i="247"/>
  <c r="T49" i="247"/>
  <c r="S49" i="247"/>
  <c r="R49" i="247"/>
  <c r="Q49" i="247"/>
  <c r="P49" i="247"/>
  <c r="O49" i="247"/>
  <c r="N49" i="247"/>
  <c r="M49" i="247"/>
  <c r="L49" i="247"/>
  <c r="H49" i="247"/>
  <c r="AA50" i="248"/>
  <c r="Z50" i="248"/>
  <c r="Y50" i="248"/>
  <c r="X50" i="248"/>
  <c r="W50" i="248"/>
  <c r="V50" i="248"/>
  <c r="U50" i="248"/>
  <c r="T50" i="248"/>
  <c r="S50" i="248"/>
  <c r="R50" i="248"/>
  <c r="Q50" i="248"/>
  <c r="P50" i="248"/>
  <c r="O50" i="248"/>
  <c r="N50" i="248"/>
  <c r="M50" i="248"/>
  <c r="L50" i="248"/>
  <c r="J50" i="248"/>
  <c r="I50" i="248"/>
  <c r="H50" i="248"/>
  <c r="AA54" i="249"/>
  <c r="Y54" i="249"/>
  <c r="X54" i="249"/>
  <c r="U54" i="249"/>
  <c r="T54" i="249"/>
  <c r="S54" i="249"/>
  <c r="R54" i="249"/>
  <c r="Q54" i="249"/>
  <c r="O54" i="249"/>
  <c r="M54" i="249"/>
  <c r="J54" i="249"/>
  <c r="I54" i="249"/>
  <c r="H54" i="249"/>
  <c r="AB50" i="250"/>
  <c r="AB51" i="250" s="1"/>
  <c r="AA50" i="250"/>
  <c r="AA51" i="250" s="1"/>
  <c r="Z50" i="250"/>
  <c r="Z51" i="250" s="1"/>
  <c r="Y50" i="250"/>
  <c r="Y51" i="250" s="1"/>
  <c r="X50" i="250"/>
  <c r="X51" i="250" s="1"/>
  <c r="V50" i="250"/>
  <c r="V51" i="250" s="1"/>
  <c r="S50" i="250"/>
  <c r="S51" i="250" s="1"/>
  <c r="R50" i="250"/>
  <c r="R51" i="250" s="1"/>
  <c r="Q50" i="250"/>
  <c r="Q51" i="250" s="1"/>
  <c r="O50" i="250"/>
  <c r="O51" i="250" s="1"/>
  <c r="N50" i="250"/>
  <c r="N51" i="250" s="1"/>
  <c r="M50" i="250"/>
  <c r="M51" i="250" s="1"/>
  <c r="L50" i="250"/>
  <c r="L51" i="250" s="1"/>
  <c r="H50" i="250"/>
  <c r="H51" i="250" s="1"/>
  <c r="W49" i="250"/>
  <c r="T49" i="250"/>
  <c r="U49" i="250" s="1"/>
  <c r="P49" i="250"/>
  <c r="I49" i="250"/>
  <c r="J49" i="250" s="1"/>
  <c r="W48" i="250"/>
  <c r="T48" i="250"/>
  <c r="U48" i="250" s="1"/>
  <c r="P48" i="250"/>
  <c r="I48" i="250"/>
  <c r="J48" i="250" s="1"/>
  <c r="W47" i="250"/>
  <c r="T47" i="250"/>
  <c r="U47" i="250" s="1"/>
  <c r="P47" i="250"/>
  <c r="I47" i="250"/>
  <c r="J47" i="250" s="1"/>
  <c r="W46" i="250"/>
  <c r="T46" i="250"/>
  <c r="U46" i="250" s="1"/>
  <c r="P46" i="250"/>
  <c r="I46" i="250"/>
  <c r="J46" i="250" s="1"/>
  <c r="W45" i="250"/>
  <c r="T45" i="250"/>
  <c r="U45" i="250" s="1"/>
  <c r="P45" i="250"/>
  <c r="J45" i="250"/>
  <c r="W44" i="250"/>
  <c r="T44" i="250"/>
  <c r="U44" i="250" s="1"/>
  <c r="P44" i="250"/>
  <c r="I44" i="250"/>
  <c r="J44" i="250" s="1"/>
  <c r="W43" i="250"/>
  <c r="T43" i="250"/>
  <c r="U43" i="250" s="1"/>
  <c r="P43" i="250"/>
  <c r="I43" i="250"/>
  <c r="J43" i="250" s="1"/>
  <c r="W42" i="250"/>
  <c r="T42" i="250"/>
  <c r="U42" i="250" s="1"/>
  <c r="P42" i="250"/>
  <c r="I42" i="250"/>
  <c r="J42" i="250" s="1"/>
  <c r="W41" i="250"/>
  <c r="T41" i="250"/>
  <c r="U41" i="250" s="1"/>
  <c r="P41" i="250"/>
  <c r="I41" i="250"/>
  <c r="J41" i="250" s="1"/>
  <c r="W40" i="250"/>
  <c r="T40" i="250"/>
  <c r="U40" i="250" s="1"/>
  <c r="P40" i="250"/>
  <c r="I40" i="250"/>
  <c r="J40" i="250" s="1"/>
  <c r="W39" i="250"/>
  <c r="T39" i="250"/>
  <c r="U39" i="250" s="1"/>
  <c r="P39" i="250"/>
  <c r="J39" i="250"/>
  <c r="W38" i="250"/>
  <c r="T38" i="250"/>
  <c r="P38" i="250"/>
  <c r="I38" i="250"/>
  <c r="J38" i="250" s="1"/>
  <c r="L34" i="250"/>
  <c r="M33" i="250"/>
  <c r="N33" i="250" s="1"/>
  <c r="M32" i="250"/>
  <c r="O27" i="250"/>
  <c r="M27" i="250"/>
  <c r="L27" i="250"/>
  <c r="N26" i="250"/>
  <c r="N25" i="250"/>
  <c r="P25" i="250" s="1"/>
  <c r="O24" i="250"/>
  <c r="N24" i="250"/>
  <c r="F42" i="250" s="1"/>
  <c r="M24" i="250"/>
  <c r="L24" i="250"/>
  <c r="P20" i="250"/>
  <c r="L15" i="250"/>
  <c r="M14" i="250"/>
  <c r="N14" i="250" s="1"/>
  <c r="M13" i="250"/>
  <c r="L12" i="250"/>
  <c r="M11" i="250"/>
  <c r="M10" i="250"/>
  <c r="N10" i="250" s="1"/>
  <c r="L9" i="250"/>
  <c r="M8" i="250"/>
  <c r="N8" i="250" s="1"/>
  <c r="M7" i="250"/>
  <c r="N7" i="250" s="1"/>
  <c r="M6" i="250"/>
  <c r="N6" i="250" s="1"/>
  <c r="M5" i="250"/>
  <c r="N5" i="250" s="1"/>
  <c r="N12" i="249"/>
  <c r="M10" i="249"/>
  <c r="N10" i="249" s="1"/>
  <c r="M11" i="249"/>
  <c r="N11" i="249" s="1"/>
  <c r="M12" i="249"/>
  <c r="N8" i="249"/>
  <c r="M6" i="249"/>
  <c r="N6" i="249" s="1"/>
  <c r="M7" i="249"/>
  <c r="N7" i="249" s="1"/>
  <c r="M8" i="249"/>
  <c r="M9" i="249"/>
  <c r="N9" i="249" s="1"/>
  <c r="P20" i="248"/>
  <c r="P21" i="248"/>
  <c r="P22" i="248"/>
  <c r="AB53" i="249"/>
  <c r="AB54" i="249" s="1"/>
  <c r="AA53" i="249"/>
  <c r="Z53" i="249"/>
  <c r="Z54" i="249" s="1"/>
  <c r="Y53" i="249"/>
  <c r="X53" i="249"/>
  <c r="V53" i="249"/>
  <c r="V54" i="249" s="1"/>
  <c r="S53" i="249"/>
  <c r="R53" i="249"/>
  <c r="Q53" i="249"/>
  <c r="O53" i="249"/>
  <c r="N53" i="249"/>
  <c r="N54" i="249" s="1"/>
  <c r="M53" i="249"/>
  <c r="L53" i="249"/>
  <c r="L54" i="249" s="1"/>
  <c r="H53" i="249"/>
  <c r="W52" i="249"/>
  <c r="T52" i="249"/>
  <c r="U52" i="249" s="1"/>
  <c r="P52" i="249"/>
  <c r="I52" i="249"/>
  <c r="J52" i="249" s="1"/>
  <c r="W51" i="249"/>
  <c r="T51" i="249"/>
  <c r="U51" i="249" s="1"/>
  <c r="P51" i="249"/>
  <c r="I51" i="249"/>
  <c r="J51" i="249" s="1"/>
  <c r="W50" i="249"/>
  <c r="T50" i="249"/>
  <c r="U50" i="249" s="1"/>
  <c r="P50" i="249"/>
  <c r="I50" i="249"/>
  <c r="J50" i="249" s="1"/>
  <c r="W49" i="249"/>
  <c r="T49" i="249"/>
  <c r="U49" i="249" s="1"/>
  <c r="P49" i="249"/>
  <c r="I49" i="249"/>
  <c r="J49" i="249" s="1"/>
  <c r="W48" i="249"/>
  <c r="T48" i="249"/>
  <c r="U48" i="249" s="1"/>
  <c r="P48" i="249"/>
  <c r="I48" i="249"/>
  <c r="J48" i="249" s="1"/>
  <c r="W47" i="249"/>
  <c r="T47" i="249"/>
  <c r="U47" i="249" s="1"/>
  <c r="P47" i="249"/>
  <c r="I47" i="249"/>
  <c r="J47" i="249" s="1"/>
  <c r="W46" i="249"/>
  <c r="T46" i="249"/>
  <c r="U46" i="249" s="1"/>
  <c r="P46" i="249"/>
  <c r="I46" i="249"/>
  <c r="J46" i="249" s="1"/>
  <c r="W45" i="249"/>
  <c r="T45" i="249"/>
  <c r="U45" i="249" s="1"/>
  <c r="P45" i="249"/>
  <c r="I45" i="249"/>
  <c r="J45" i="249" s="1"/>
  <c r="W44" i="249"/>
  <c r="T44" i="249"/>
  <c r="U44" i="249" s="1"/>
  <c r="P44" i="249"/>
  <c r="I44" i="249"/>
  <c r="J44" i="249" s="1"/>
  <c r="W43" i="249"/>
  <c r="T43" i="249"/>
  <c r="U43" i="249" s="1"/>
  <c r="P43" i="249"/>
  <c r="I43" i="249"/>
  <c r="J43" i="249" s="1"/>
  <c r="W42" i="249"/>
  <c r="T42" i="249"/>
  <c r="U42" i="249" s="1"/>
  <c r="P42" i="249"/>
  <c r="J42" i="249"/>
  <c r="W41" i="249"/>
  <c r="T41" i="249"/>
  <c r="P41" i="249"/>
  <c r="I41" i="249"/>
  <c r="J41" i="249" s="1"/>
  <c r="L37" i="249"/>
  <c r="M36" i="249"/>
  <c r="N36" i="249" s="1"/>
  <c r="M35" i="249"/>
  <c r="O30" i="249"/>
  <c r="M30" i="249"/>
  <c r="L30" i="249"/>
  <c r="N29" i="249"/>
  <c r="P29" i="249" s="1"/>
  <c r="N28" i="249"/>
  <c r="P28" i="249" s="1"/>
  <c r="O27" i="249"/>
  <c r="N27" i="249"/>
  <c r="F45" i="249" s="1"/>
  <c r="M27" i="249"/>
  <c r="L27" i="249"/>
  <c r="P26" i="249"/>
  <c r="P25" i="249"/>
  <c r="P24" i="249"/>
  <c r="L19" i="249"/>
  <c r="M18" i="249"/>
  <c r="N18" i="249" s="1"/>
  <c r="M17" i="249"/>
  <c r="L16" i="249"/>
  <c r="M15" i="249"/>
  <c r="M14" i="249"/>
  <c r="N14" i="249" s="1"/>
  <c r="L13" i="249"/>
  <c r="M5" i="249"/>
  <c r="AB49" i="248"/>
  <c r="AB50" i="248" s="1"/>
  <c r="AA49" i="248"/>
  <c r="Z49" i="248"/>
  <c r="Y49" i="248"/>
  <c r="X49" i="248"/>
  <c r="V49" i="248"/>
  <c r="S49" i="248"/>
  <c r="R49" i="248"/>
  <c r="Q49" i="248"/>
  <c r="O49" i="248"/>
  <c r="N49" i="248"/>
  <c r="M49" i="248"/>
  <c r="L49" i="248"/>
  <c r="H49" i="248"/>
  <c r="W48" i="248"/>
  <c r="T48" i="248"/>
  <c r="U48" i="248" s="1"/>
  <c r="P48" i="248"/>
  <c r="I48" i="248"/>
  <c r="J48" i="248" s="1"/>
  <c r="W47" i="248"/>
  <c r="T47" i="248"/>
  <c r="U47" i="248" s="1"/>
  <c r="P47" i="248"/>
  <c r="I47" i="248"/>
  <c r="J47" i="248" s="1"/>
  <c r="W46" i="248"/>
  <c r="T46" i="248"/>
  <c r="U46" i="248" s="1"/>
  <c r="P46" i="248"/>
  <c r="I46" i="248"/>
  <c r="J46" i="248" s="1"/>
  <c r="W45" i="248"/>
  <c r="T45" i="248"/>
  <c r="U45" i="248" s="1"/>
  <c r="P45" i="248"/>
  <c r="I45" i="248"/>
  <c r="J45" i="248" s="1"/>
  <c r="W44" i="248"/>
  <c r="T44" i="248"/>
  <c r="U44" i="248" s="1"/>
  <c r="P44" i="248"/>
  <c r="I44" i="248"/>
  <c r="J44" i="248" s="1"/>
  <c r="W43" i="248"/>
  <c r="T43" i="248"/>
  <c r="U43" i="248" s="1"/>
  <c r="P43" i="248"/>
  <c r="I43" i="248"/>
  <c r="J43" i="248" s="1"/>
  <c r="W42" i="248"/>
  <c r="U42" i="248"/>
  <c r="T42" i="248"/>
  <c r="P42" i="248"/>
  <c r="I42" i="248"/>
  <c r="J42" i="248" s="1"/>
  <c r="W41" i="248"/>
  <c r="T41" i="248"/>
  <c r="U41" i="248" s="1"/>
  <c r="P41" i="248"/>
  <c r="I41" i="248"/>
  <c r="J41" i="248" s="1"/>
  <c r="W40" i="248"/>
  <c r="T40" i="248"/>
  <c r="U40" i="248" s="1"/>
  <c r="P40" i="248"/>
  <c r="I40" i="248"/>
  <c r="J40" i="248" s="1"/>
  <c r="W39" i="248"/>
  <c r="T39" i="248"/>
  <c r="U39" i="248" s="1"/>
  <c r="P39" i="248"/>
  <c r="J39" i="248"/>
  <c r="I39" i="248"/>
  <c r="W38" i="248"/>
  <c r="T38" i="248"/>
  <c r="U38" i="248" s="1"/>
  <c r="P38" i="248"/>
  <c r="J38" i="248"/>
  <c r="W37" i="248"/>
  <c r="T37" i="248"/>
  <c r="P37" i="248"/>
  <c r="I37" i="248"/>
  <c r="L33" i="248"/>
  <c r="M32" i="248"/>
  <c r="N32" i="248" s="1"/>
  <c r="M31" i="248"/>
  <c r="M33" i="248" s="1"/>
  <c r="F44" i="248" s="1"/>
  <c r="O26" i="248"/>
  <c r="M26" i="248"/>
  <c r="L26" i="248"/>
  <c r="N25" i="248"/>
  <c r="P25" i="248" s="1"/>
  <c r="N24" i="248"/>
  <c r="P24" i="248" s="1"/>
  <c r="O23" i="248"/>
  <c r="N23" i="248"/>
  <c r="F41" i="248" s="1"/>
  <c r="M23" i="248"/>
  <c r="M27" i="248" s="1"/>
  <c r="L23" i="248"/>
  <c r="P19" i="248"/>
  <c r="L14" i="248"/>
  <c r="M13" i="248"/>
  <c r="N13" i="248" s="1"/>
  <c r="M12" i="248"/>
  <c r="M14" i="248" s="1"/>
  <c r="L11" i="248"/>
  <c r="M10" i="248"/>
  <c r="N10" i="248" s="1"/>
  <c r="M9" i="248"/>
  <c r="N9" i="248" s="1"/>
  <c r="L8" i="248"/>
  <c r="M7" i="248"/>
  <c r="N7" i="248" s="1"/>
  <c r="M6" i="248"/>
  <c r="N6" i="248" s="1"/>
  <c r="M5" i="248"/>
  <c r="W39" i="246"/>
  <c r="F42" i="254" l="1"/>
  <c r="M19" i="254"/>
  <c r="N19" i="254"/>
  <c r="M13" i="253"/>
  <c r="T46" i="253"/>
  <c r="T47" i="253" s="1"/>
  <c r="U34" i="253"/>
  <c r="L24" i="253"/>
  <c r="N23" i="253"/>
  <c r="P46" i="253"/>
  <c r="P47" i="253" s="1"/>
  <c r="F44" i="254"/>
  <c r="N29" i="254"/>
  <c r="F45" i="254"/>
  <c r="W46" i="253"/>
  <c r="W47" i="253" s="1"/>
  <c r="M27" i="252"/>
  <c r="J46" i="253"/>
  <c r="J47" i="253" s="1"/>
  <c r="P20" i="253"/>
  <c r="L17" i="252"/>
  <c r="F45" i="252" s="1"/>
  <c r="M33" i="252"/>
  <c r="F44" i="252" s="1"/>
  <c r="M13" i="252"/>
  <c r="F38" i="252" s="1"/>
  <c r="M16" i="252"/>
  <c r="P26" i="252"/>
  <c r="M7" i="253"/>
  <c r="F34" i="253" s="1"/>
  <c r="F37" i="253" s="1"/>
  <c r="F33" i="253"/>
  <c r="F42" i="253"/>
  <c r="F39" i="253"/>
  <c r="N24" i="253"/>
  <c r="N10" i="253"/>
  <c r="U46" i="253"/>
  <c r="U47" i="253" s="1"/>
  <c r="I46" i="253"/>
  <c r="I47" i="253" s="1"/>
  <c r="N6" i="253"/>
  <c r="N7" i="253" s="1"/>
  <c r="P21" i="253"/>
  <c r="P23" i="253" s="1"/>
  <c r="N11" i="253"/>
  <c r="N13" i="253" s="1"/>
  <c r="L27" i="252"/>
  <c r="P49" i="252"/>
  <c r="P50" i="252" s="1"/>
  <c r="P46" i="251"/>
  <c r="P47" i="251" s="1"/>
  <c r="P23" i="252"/>
  <c r="I49" i="252"/>
  <c r="I50" i="252" s="1"/>
  <c r="W49" i="252"/>
  <c r="W50" i="252" s="1"/>
  <c r="N29" i="251"/>
  <c r="N30" i="251" s="1"/>
  <c r="L14" i="251"/>
  <c r="M24" i="251"/>
  <c r="L24" i="251"/>
  <c r="M10" i="251"/>
  <c r="F35" i="251" s="1"/>
  <c r="O24" i="251"/>
  <c r="T46" i="251"/>
  <c r="T47" i="251" s="1"/>
  <c r="N8" i="251"/>
  <c r="N10" i="251" s="1"/>
  <c r="N23" i="251"/>
  <c r="F39" i="251" s="1"/>
  <c r="U34" i="251"/>
  <c r="M13" i="251"/>
  <c r="P23" i="251"/>
  <c r="M10" i="252"/>
  <c r="M17" i="252" s="1"/>
  <c r="U49" i="252"/>
  <c r="U50" i="252" s="1"/>
  <c r="N10" i="252"/>
  <c r="J42" i="252"/>
  <c r="J49" i="252" s="1"/>
  <c r="J50" i="252" s="1"/>
  <c r="N14" i="252"/>
  <c r="N16" i="252" s="1"/>
  <c r="N26" i="252"/>
  <c r="F42" i="252" s="1"/>
  <c r="T49" i="252"/>
  <c r="T50" i="252" s="1"/>
  <c r="N11" i="252"/>
  <c r="N13" i="252" s="1"/>
  <c r="N31" i="252"/>
  <c r="N33" i="252" s="1"/>
  <c r="J46" i="251"/>
  <c r="J47" i="251" s="1"/>
  <c r="W46" i="251"/>
  <c r="W47" i="251" s="1"/>
  <c r="M7" i="251"/>
  <c r="P20" i="251"/>
  <c r="M15" i="250"/>
  <c r="F42" i="251"/>
  <c r="F33" i="251"/>
  <c r="U46" i="251"/>
  <c r="U47" i="251" s="1"/>
  <c r="I46" i="251"/>
  <c r="I47" i="251" s="1"/>
  <c r="N5" i="251"/>
  <c r="N7" i="251" s="1"/>
  <c r="N11" i="251"/>
  <c r="N13" i="251" s="1"/>
  <c r="L16" i="250"/>
  <c r="F46" i="250" s="1"/>
  <c r="N27" i="250"/>
  <c r="F43" i="250" s="1"/>
  <c r="T50" i="250"/>
  <c r="T51" i="250" s="1"/>
  <c r="P50" i="250"/>
  <c r="P51" i="250" s="1"/>
  <c r="M12" i="250"/>
  <c r="F39" i="250" s="1"/>
  <c r="O28" i="250"/>
  <c r="W50" i="250"/>
  <c r="W51" i="250" s="1"/>
  <c r="L28" i="250"/>
  <c r="M28" i="250"/>
  <c r="M34" i="250"/>
  <c r="F45" i="250" s="1"/>
  <c r="P24" i="250"/>
  <c r="M9" i="250"/>
  <c r="M16" i="250" s="1"/>
  <c r="J50" i="250"/>
  <c r="J51" i="250" s="1"/>
  <c r="N9" i="250"/>
  <c r="F37" i="250"/>
  <c r="I50" i="250"/>
  <c r="I51" i="250" s="1"/>
  <c r="N13" i="250"/>
  <c r="N15" i="250" s="1"/>
  <c r="P26" i="250"/>
  <c r="P27" i="250" s="1"/>
  <c r="N28" i="250"/>
  <c r="N32" i="250"/>
  <c r="N34" i="250" s="1"/>
  <c r="U38" i="250"/>
  <c r="U50" i="250" s="1"/>
  <c r="U51" i="250" s="1"/>
  <c r="N11" i="250"/>
  <c r="N12" i="250" s="1"/>
  <c r="L20" i="249"/>
  <c r="F49" i="249" s="1"/>
  <c r="O31" i="249"/>
  <c r="M31" i="249"/>
  <c r="T49" i="248"/>
  <c r="N11" i="248"/>
  <c r="L27" i="248"/>
  <c r="L31" i="249"/>
  <c r="M16" i="249"/>
  <c r="F42" i="249" s="1"/>
  <c r="M37" i="249"/>
  <c r="F48" i="249" s="1"/>
  <c r="P53" i="249"/>
  <c r="P54" i="249" s="1"/>
  <c r="W53" i="249"/>
  <c r="W54" i="249" s="1"/>
  <c r="M19" i="249"/>
  <c r="P27" i="249"/>
  <c r="T53" i="249"/>
  <c r="M13" i="249"/>
  <c r="N5" i="249"/>
  <c r="N13" i="249" s="1"/>
  <c r="M11" i="248"/>
  <c r="F38" i="248" s="1"/>
  <c r="I49" i="248"/>
  <c r="J37" i="248"/>
  <c r="J49" i="248" s="1"/>
  <c r="L15" i="248"/>
  <c r="O27" i="248"/>
  <c r="P49" i="248"/>
  <c r="J53" i="249"/>
  <c r="P30" i="249"/>
  <c r="N15" i="249"/>
  <c r="N16" i="249" s="1"/>
  <c r="N30" i="249"/>
  <c r="F46" i="249" s="1"/>
  <c r="N17" i="249"/>
  <c r="N19" i="249" s="1"/>
  <c r="N35" i="249"/>
  <c r="N37" i="249" s="1"/>
  <c r="U41" i="249"/>
  <c r="U53" i="249" s="1"/>
  <c r="I53" i="249"/>
  <c r="W49" i="248"/>
  <c r="M8" i="248"/>
  <c r="F37" i="248" s="1"/>
  <c r="F40" i="248" s="1"/>
  <c r="P23" i="248"/>
  <c r="P27" i="248" s="1"/>
  <c r="P26" i="248"/>
  <c r="F36" i="248"/>
  <c r="F45" i="248"/>
  <c r="M15" i="248"/>
  <c r="N5" i="248"/>
  <c r="N8" i="248" s="1"/>
  <c r="N26" i="248"/>
  <c r="N12" i="248"/>
  <c r="N14" i="248" s="1"/>
  <c r="N31" i="248"/>
  <c r="N33" i="248" s="1"/>
  <c r="U37" i="248"/>
  <c r="U49" i="248" s="1"/>
  <c r="N14" i="253" l="1"/>
  <c r="F52" i="254"/>
  <c r="F50" i="254"/>
  <c r="F51" i="254" s="1"/>
  <c r="F49" i="254"/>
  <c r="P27" i="252"/>
  <c r="F36" i="252"/>
  <c r="P24" i="253"/>
  <c r="N17" i="252"/>
  <c r="M14" i="253"/>
  <c r="F40" i="253"/>
  <c r="F37" i="252"/>
  <c r="F40" i="252" s="1"/>
  <c r="F43" i="252" s="1"/>
  <c r="F48" i="252" s="1"/>
  <c r="F49" i="252" s="1"/>
  <c r="M14" i="251"/>
  <c r="N24" i="251"/>
  <c r="P24" i="251"/>
  <c r="N27" i="252"/>
  <c r="F34" i="251"/>
  <c r="F37" i="251" s="1"/>
  <c r="F40" i="251" s="1"/>
  <c r="F47" i="251" s="1"/>
  <c r="N14" i="251"/>
  <c r="N16" i="250"/>
  <c r="P28" i="250"/>
  <c r="F38" i="250"/>
  <c r="F41" i="250" s="1"/>
  <c r="F44" i="250" s="1"/>
  <c r="F51" i="250" s="1"/>
  <c r="F40" i="249"/>
  <c r="P31" i="249"/>
  <c r="M20" i="249"/>
  <c r="F41" i="249"/>
  <c r="F44" i="249" s="1"/>
  <c r="F47" i="249" s="1"/>
  <c r="F51" i="249" s="1"/>
  <c r="N20" i="249"/>
  <c r="N15" i="248"/>
  <c r="N31" i="249"/>
  <c r="F42" i="248"/>
  <c r="F43" i="248" s="1"/>
  <c r="N27" i="248"/>
  <c r="F47" i="253" l="1"/>
  <c r="F45" i="253"/>
  <c r="F46" i="253" s="1"/>
  <c r="F44" i="253"/>
  <c r="F47" i="252"/>
  <c r="F50" i="252"/>
  <c r="F44" i="251"/>
  <c r="F45" i="251"/>
  <c r="F46" i="251" s="1"/>
  <c r="F48" i="250"/>
  <c r="F49" i="250"/>
  <c r="F50" i="250" s="1"/>
  <c r="F52" i="249"/>
  <c r="F53" i="249" s="1"/>
  <c r="F54" i="249"/>
  <c r="F47" i="248"/>
  <c r="F50" i="248"/>
  <c r="F48" i="248"/>
  <c r="F49" i="248" s="1"/>
  <c r="P21" i="246" l="1"/>
  <c r="P20" i="246"/>
  <c r="AB48" i="247" l="1"/>
  <c r="AB49" i="247" s="1"/>
  <c r="AA48" i="247"/>
  <c r="Z48" i="247"/>
  <c r="Y48" i="247"/>
  <c r="X48" i="247"/>
  <c r="V48" i="247"/>
  <c r="S48" i="247"/>
  <c r="R48" i="247"/>
  <c r="Q48" i="247"/>
  <c r="O48" i="247"/>
  <c r="N48" i="247"/>
  <c r="M48" i="247"/>
  <c r="L48" i="247"/>
  <c r="H48" i="247"/>
  <c r="W47" i="247"/>
  <c r="T47" i="247"/>
  <c r="U47" i="247" s="1"/>
  <c r="P47" i="247"/>
  <c r="I47" i="247"/>
  <c r="J47" i="247" s="1"/>
  <c r="W46" i="247"/>
  <c r="U46" i="247"/>
  <c r="T46" i="247"/>
  <c r="P46" i="247"/>
  <c r="I46" i="247"/>
  <c r="J46" i="247" s="1"/>
  <c r="W45" i="247"/>
  <c r="T45" i="247"/>
  <c r="U45" i="247" s="1"/>
  <c r="P45" i="247"/>
  <c r="I45" i="247"/>
  <c r="J45" i="247" s="1"/>
  <c r="W44" i="247"/>
  <c r="T44" i="247"/>
  <c r="U44" i="247" s="1"/>
  <c r="P44" i="247"/>
  <c r="I44" i="247"/>
  <c r="J44" i="247" s="1"/>
  <c r="W43" i="247"/>
  <c r="T43" i="247"/>
  <c r="U43" i="247" s="1"/>
  <c r="P43" i="247"/>
  <c r="I43" i="247"/>
  <c r="J43" i="247" s="1"/>
  <c r="W42" i="247"/>
  <c r="T42" i="247"/>
  <c r="U42" i="247" s="1"/>
  <c r="P42" i="247"/>
  <c r="I42" i="247"/>
  <c r="J42" i="247" s="1"/>
  <c r="W41" i="247"/>
  <c r="T41" i="247"/>
  <c r="U41" i="247" s="1"/>
  <c r="P41" i="247"/>
  <c r="I41" i="247"/>
  <c r="J41" i="247" s="1"/>
  <c r="W40" i="247"/>
  <c r="T40" i="247"/>
  <c r="U40" i="247" s="1"/>
  <c r="P40" i="247"/>
  <c r="I40" i="247"/>
  <c r="J40" i="247" s="1"/>
  <c r="W39" i="247"/>
  <c r="T39" i="247"/>
  <c r="U39" i="247" s="1"/>
  <c r="P39" i="247"/>
  <c r="J39" i="247"/>
  <c r="W38" i="247"/>
  <c r="T38" i="247"/>
  <c r="U38" i="247" s="1"/>
  <c r="P38" i="247"/>
  <c r="I38" i="247"/>
  <c r="J38" i="247" s="1"/>
  <c r="W37" i="247"/>
  <c r="T37" i="247"/>
  <c r="U37" i="247" s="1"/>
  <c r="P37" i="247"/>
  <c r="J37" i="247"/>
  <c r="W36" i="247"/>
  <c r="T36" i="247"/>
  <c r="P36" i="247"/>
  <c r="I36" i="247"/>
  <c r="L32" i="247"/>
  <c r="M31" i="247"/>
  <c r="N31" i="247" s="1"/>
  <c r="M30" i="247"/>
  <c r="M32" i="247" s="1"/>
  <c r="F43" i="247" s="1"/>
  <c r="O26" i="247"/>
  <c r="O25" i="247"/>
  <c r="M25" i="247"/>
  <c r="L25" i="247"/>
  <c r="N24" i="247"/>
  <c r="P24" i="247" s="1"/>
  <c r="N23" i="247"/>
  <c r="O22" i="247"/>
  <c r="N22" i="247"/>
  <c r="F40" i="247" s="1"/>
  <c r="M22" i="247"/>
  <c r="M26" i="247" s="1"/>
  <c r="L22" i="247"/>
  <c r="P21" i="247"/>
  <c r="P20" i="247"/>
  <c r="P19" i="247"/>
  <c r="L14" i="247"/>
  <c r="M13" i="247"/>
  <c r="N13" i="247" s="1"/>
  <c r="M12" i="247"/>
  <c r="M14" i="247" s="1"/>
  <c r="L11" i="247"/>
  <c r="M10" i="247"/>
  <c r="N10" i="247" s="1"/>
  <c r="M9" i="247"/>
  <c r="M11" i="247" s="1"/>
  <c r="F37" i="247" s="1"/>
  <c r="L8" i="247"/>
  <c r="L15" i="247" s="1"/>
  <c r="M7" i="247"/>
  <c r="N7" i="247" s="1"/>
  <c r="M6" i="247"/>
  <c r="N6" i="247" s="1"/>
  <c r="M5" i="247"/>
  <c r="AB48" i="246"/>
  <c r="AB49" i="246" s="1"/>
  <c r="AA48" i="246"/>
  <c r="AA49" i="246" s="1"/>
  <c r="Z48" i="246"/>
  <c r="Z49" i="246" s="1"/>
  <c r="Y48" i="246"/>
  <c r="Y49" i="246" s="1"/>
  <c r="X48" i="246"/>
  <c r="X49" i="246" s="1"/>
  <c r="V48" i="246"/>
  <c r="V49" i="246" s="1"/>
  <c r="S48" i="246"/>
  <c r="S49" i="246" s="1"/>
  <c r="R48" i="246"/>
  <c r="R49" i="246" s="1"/>
  <c r="Q48" i="246"/>
  <c r="Q49" i="246" s="1"/>
  <c r="O48" i="246"/>
  <c r="O49" i="246" s="1"/>
  <c r="N48" i="246"/>
  <c r="N49" i="246" s="1"/>
  <c r="M48" i="246"/>
  <c r="M49" i="246" s="1"/>
  <c r="L48" i="246"/>
  <c r="L49" i="246" s="1"/>
  <c r="H48" i="246"/>
  <c r="H49" i="246" s="1"/>
  <c r="W47" i="246"/>
  <c r="T47" i="246"/>
  <c r="U47" i="246" s="1"/>
  <c r="P47" i="246"/>
  <c r="I47" i="246"/>
  <c r="J47" i="246" s="1"/>
  <c r="W46" i="246"/>
  <c r="T46" i="246"/>
  <c r="U46" i="246" s="1"/>
  <c r="P46" i="246"/>
  <c r="I46" i="246"/>
  <c r="J46" i="246" s="1"/>
  <c r="W45" i="246"/>
  <c r="T45" i="246"/>
  <c r="U45" i="246" s="1"/>
  <c r="P45" i="246"/>
  <c r="I45" i="246"/>
  <c r="J45" i="246" s="1"/>
  <c r="W44" i="246"/>
  <c r="T44" i="246"/>
  <c r="U44" i="246" s="1"/>
  <c r="P44" i="246"/>
  <c r="I44" i="246"/>
  <c r="J44" i="246" s="1"/>
  <c r="W43" i="246"/>
  <c r="T43" i="246"/>
  <c r="U43" i="246" s="1"/>
  <c r="P43" i="246"/>
  <c r="I43" i="246"/>
  <c r="J43" i="246" s="1"/>
  <c r="W42" i="246"/>
  <c r="T42" i="246"/>
  <c r="U42" i="246" s="1"/>
  <c r="P42" i="246"/>
  <c r="I42" i="246"/>
  <c r="J42" i="246" s="1"/>
  <c r="W41" i="246"/>
  <c r="T41" i="246"/>
  <c r="U41" i="246" s="1"/>
  <c r="P41" i="246"/>
  <c r="I41" i="246"/>
  <c r="J41" i="246" s="1"/>
  <c r="W40" i="246"/>
  <c r="T40" i="246"/>
  <c r="U40" i="246" s="1"/>
  <c r="P40" i="246"/>
  <c r="I40" i="246"/>
  <c r="J40" i="246" s="1"/>
  <c r="T39" i="246"/>
  <c r="U39" i="246" s="1"/>
  <c r="P39" i="246"/>
  <c r="J39" i="246"/>
  <c r="W38" i="246"/>
  <c r="T38" i="246"/>
  <c r="U38" i="246" s="1"/>
  <c r="P38" i="246"/>
  <c r="I38" i="246"/>
  <c r="J38" i="246" s="1"/>
  <c r="W37" i="246"/>
  <c r="T37" i="246"/>
  <c r="U37" i="246" s="1"/>
  <c r="P37" i="246"/>
  <c r="J37" i="246"/>
  <c r="W36" i="246"/>
  <c r="T36" i="246"/>
  <c r="T48" i="246" s="1"/>
  <c r="T49" i="246" s="1"/>
  <c r="P36" i="246"/>
  <c r="I36" i="246"/>
  <c r="J36" i="246" s="1"/>
  <c r="L32" i="246"/>
  <c r="M31" i="246"/>
  <c r="N31" i="246" s="1"/>
  <c r="M30" i="246"/>
  <c r="O25" i="246"/>
  <c r="M25" i="246"/>
  <c r="L25" i="246"/>
  <c r="N24" i="246"/>
  <c r="P24" i="246" s="1"/>
  <c r="N23" i="246"/>
  <c r="O22" i="246"/>
  <c r="N22" i="246"/>
  <c r="F40" i="246" s="1"/>
  <c r="M22" i="246"/>
  <c r="L22" i="246"/>
  <c r="L15" i="246"/>
  <c r="M14" i="246"/>
  <c r="N14" i="246" s="1"/>
  <c r="M13" i="246"/>
  <c r="M15" i="246" s="1"/>
  <c r="L12" i="246"/>
  <c r="M11" i="246"/>
  <c r="N11" i="246" s="1"/>
  <c r="M10" i="246"/>
  <c r="M12" i="246" s="1"/>
  <c r="F37" i="246" s="1"/>
  <c r="L9" i="246"/>
  <c r="M8" i="246"/>
  <c r="N8" i="246" s="1"/>
  <c r="M7" i="246"/>
  <c r="N7" i="246" s="1"/>
  <c r="M6" i="246"/>
  <c r="N6" i="246" s="1"/>
  <c r="M5" i="246"/>
  <c r="N5" i="246" s="1"/>
  <c r="N13" i="246" l="1"/>
  <c r="I48" i="247"/>
  <c r="I49" i="247" s="1"/>
  <c r="N9" i="247"/>
  <c r="N11" i="247" s="1"/>
  <c r="W48" i="247"/>
  <c r="N15" i="246"/>
  <c r="J36" i="247"/>
  <c r="J48" i="247" s="1"/>
  <c r="J49" i="247" s="1"/>
  <c r="P48" i="247"/>
  <c r="M26" i="246"/>
  <c r="M32" i="246"/>
  <c r="F43" i="246" s="1"/>
  <c r="L26" i="247"/>
  <c r="N25" i="247"/>
  <c r="F41" i="247" s="1"/>
  <c r="T48" i="247"/>
  <c r="P22" i="247"/>
  <c r="O26" i="246"/>
  <c r="N25" i="246"/>
  <c r="F41" i="246" s="1"/>
  <c r="L26" i="246"/>
  <c r="M8" i="247"/>
  <c r="F36" i="247" s="1"/>
  <c r="F39" i="247" s="1"/>
  <c r="P23" i="246"/>
  <c r="P25" i="246" s="1"/>
  <c r="N30" i="246"/>
  <c r="N32" i="246" s="1"/>
  <c r="U36" i="246"/>
  <c r="U48" i="246" s="1"/>
  <c r="U49" i="246" s="1"/>
  <c r="L16" i="246"/>
  <c r="F44" i="246" s="1"/>
  <c r="P48" i="246"/>
  <c r="P49" i="246" s="1"/>
  <c r="F35" i="247"/>
  <c r="F44" i="247"/>
  <c r="N5" i="247"/>
  <c r="N8" i="247" s="1"/>
  <c r="P23" i="247"/>
  <c r="P25" i="247" s="1"/>
  <c r="N12" i="247"/>
  <c r="N14" i="247" s="1"/>
  <c r="N30" i="247"/>
  <c r="N32" i="247" s="1"/>
  <c r="U36" i="247"/>
  <c r="U48" i="247" s="1"/>
  <c r="P22" i="246"/>
  <c r="P26" i="246" s="1"/>
  <c r="W48" i="246"/>
  <c r="W49" i="246" s="1"/>
  <c r="M9" i="246"/>
  <c r="F36" i="246" s="1"/>
  <c r="F39" i="246" s="1"/>
  <c r="N9" i="246"/>
  <c r="J48" i="246"/>
  <c r="J49" i="246" s="1"/>
  <c r="I48" i="246"/>
  <c r="I49" i="246" s="1"/>
  <c r="N10" i="246"/>
  <c r="N12" i="246" s="1"/>
  <c r="N15" i="247" l="1"/>
  <c r="N26" i="247"/>
  <c r="P26" i="247"/>
  <c r="F42" i="247"/>
  <c r="F47" i="247" s="1"/>
  <c r="F48" i="247" s="1"/>
  <c r="N26" i="246"/>
  <c r="M15" i="247"/>
  <c r="F42" i="246"/>
  <c r="F46" i="246" s="1"/>
  <c r="F35" i="246"/>
  <c r="M16" i="246"/>
  <c r="N16" i="246"/>
  <c r="F46" i="247" l="1"/>
  <c r="F49" i="247"/>
  <c r="F47" i="246"/>
  <c r="F48" i="246" s="1"/>
  <c r="F49" i="246"/>
  <c r="AB48" i="245"/>
  <c r="AB49" i="245" s="1"/>
  <c r="AA48" i="245"/>
  <c r="AA49" i="245" s="1"/>
  <c r="Z48" i="245"/>
  <c r="Z49" i="245" s="1"/>
  <c r="Y48" i="245"/>
  <c r="Y49" i="245" s="1"/>
  <c r="X48" i="245"/>
  <c r="X49" i="245" s="1"/>
  <c r="V48" i="245"/>
  <c r="V49" i="245" s="1"/>
  <c r="S48" i="245"/>
  <c r="S49" i="245" s="1"/>
  <c r="R48" i="245"/>
  <c r="R49" i="245" s="1"/>
  <c r="Q48" i="245"/>
  <c r="Q49" i="245" s="1"/>
  <c r="O48" i="245"/>
  <c r="O49" i="245" s="1"/>
  <c r="N48" i="245"/>
  <c r="N49" i="245" s="1"/>
  <c r="M48" i="245"/>
  <c r="M49" i="245" s="1"/>
  <c r="L48" i="245"/>
  <c r="L49" i="245" s="1"/>
  <c r="H48" i="245"/>
  <c r="H49" i="245" s="1"/>
  <c r="W47" i="245"/>
  <c r="T47" i="245"/>
  <c r="U47" i="245" s="1"/>
  <c r="P47" i="245"/>
  <c r="I47" i="245"/>
  <c r="J47" i="245" s="1"/>
  <c r="W46" i="245"/>
  <c r="T46" i="245"/>
  <c r="U46" i="245" s="1"/>
  <c r="P46" i="245"/>
  <c r="I46" i="245"/>
  <c r="J46" i="245" s="1"/>
  <c r="W45" i="245"/>
  <c r="T45" i="245"/>
  <c r="U45" i="245" s="1"/>
  <c r="P45" i="245"/>
  <c r="I45" i="245"/>
  <c r="J45" i="245" s="1"/>
  <c r="W44" i="245"/>
  <c r="T44" i="245"/>
  <c r="U44" i="245" s="1"/>
  <c r="P44" i="245"/>
  <c r="I44" i="245"/>
  <c r="J44" i="245" s="1"/>
  <c r="W43" i="245"/>
  <c r="T43" i="245"/>
  <c r="U43" i="245" s="1"/>
  <c r="P43" i="245"/>
  <c r="I43" i="245"/>
  <c r="J43" i="245" s="1"/>
  <c r="W42" i="245"/>
  <c r="T42" i="245"/>
  <c r="U42" i="245" s="1"/>
  <c r="P42" i="245"/>
  <c r="I42" i="245"/>
  <c r="J42" i="245" s="1"/>
  <c r="W41" i="245"/>
  <c r="T41" i="245"/>
  <c r="U41" i="245" s="1"/>
  <c r="P41" i="245"/>
  <c r="I41" i="245"/>
  <c r="J41" i="245" s="1"/>
  <c r="W40" i="245"/>
  <c r="T40" i="245"/>
  <c r="U40" i="245" s="1"/>
  <c r="P40" i="245"/>
  <c r="I40" i="245"/>
  <c r="J40" i="245" s="1"/>
  <c r="W39" i="245"/>
  <c r="T39" i="245"/>
  <c r="U39" i="245" s="1"/>
  <c r="P39" i="245"/>
  <c r="I39" i="245"/>
  <c r="J39" i="245" s="1"/>
  <c r="W38" i="245"/>
  <c r="T38" i="245"/>
  <c r="U38" i="245" s="1"/>
  <c r="P38" i="245"/>
  <c r="I38" i="245"/>
  <c r="J38" i="245" s="1"/>
  <c r="W37" i="245"/>
  <c r="T37" i="245"/>
  <c r="U37" i="245" s="1"/>
  <c r="P37" i="245"/>
  <c r="J37" i="245"/>
  <c r="W36" i="245"/>
  <c r="T36" i="245"/>
  <c r="P36" i="245"/>
  <c r="I36" i="245"/>
  <c r="J36" i="245" s="1"/>
  <c r="L32" i="245"/>
  <c r="M31" i="245"/>
  <c r="N31" i="245" s="1"/>
  <c r="M30" i="245"/>
  <c r="O25" i="245"/>
  <c r="M25" i="245"/>
  <c r="L25" i="245"/>
  <c r="N24" i="245"/>
  <c r="P24" i="245" s="1"/>
  <c r="N23" i="245"/>
  <c r="P23" i="245" s="1"/>
  <c r="O22" i="245"/>
  <c r="N22" i="245"/>
  <c r="F40" i="245" s="1"/>
  <c r="M22" i="245"/>
  <c r="M26" i="245" s="1"/>
  <c r="L22" i="245"/>
  <c r="P21" i="245"/>
  <c r="P22" i="245" s="1"/>
  <c r="L16" i="245"/>
  <c r="M15" i="245"/>
  <c r="N15" i="245" s="1"/>
  <c r="M14" i="245"/>
  <c r="L13" i="245"/>
  <c r="M12" i="245"/>
  <c r="N12" i="245" s="1"/>
  <c r="M11" i="245"/>
  <c r="N11" i="245" s="1"/>
  <c r="L10" i="245"/>
  <c r="M9" i="245"/>
  <c r="N9" i="245" s="1"/>
  <c r="M8" i="245"/>
  <c r="N8" i="245" s="1"/>
  <c r="M7" i="245"/>
  <c r="N7" i="245" s="1"/>
  <c r="M6" i="245"/>
  <c r="N6" i="245" s="1"/>
  <c r="M5" i="245"/>
  <c r="AB47" i="244"/>
  <c r="AB48" i="244" s="1"/>
  <c r="AA47" i="244"/>
  <c r="AA48" i="244" s="1"/>
  <c r="Z47" i="244"/>
  <c r="Z48" i="244" s="1"/>
  <c r="Y47" i="244"/>
  <c r="Y48" i="244" s="1"/>
  <c r="X47" i="244"/>
  <c r="X48" i="244" s="1"/>
  <c r="V47" i="244"/>
  <c r="V48" i="244" s="1"/>
  <c r="S47" i="244"/>
  <c r="S48" i="244" s="1"/>
  <c r="R47" i="244"/>
  <c r="R48" i="244" s="1"/>
  <c r="Q47" i="244"/>
  <c r="Q48" i="244" s="1"/>
  <c r="O47" i="244"/>
  <c r="O48" i="244" s="1"/>
  <c r="N47" i="244"/>
  <c r="N48" i="244" s="1"/>
  <c r="M47" i="244"/>
  <c r="M48" i="244" s="1"/>
  <c r="L47" i="244"/>
  <c r="L48" i="244" s="1"/>
  <c r="H47" i="244"/>
  <c r="H48" i="244" s="1"/>
  <c r="W46" i="244"/>
  <c r="T46" i="244"/>
  <c r="U46" i="244" s="1"/>
  <c r="P46" i="244"/>
  <c r="I46" i="244"/>
  <c r="J46" i="244" s="1"/>
  <c r="W45" i="244"/>
  <c r="T45" i="244"/>
  <c r="U45" i="244" s="1"/>
  <c r="P45" i="244"/>
  <c r="I45" i="244"/>
  <c r="J45" i="244" s="1"/>
  <c r="W44" i="244"/>
  <c r="T44" i="244"/>
  <c r="U44" i="244" s="1"/>
  <c r="P44" i="244"/>
  <c r="I44" i="244"/>
  <c r="J44" i="244" s="1"/>
  <c r="W43" i="244"/>
  <c r="T43" i="244"/>
  <c r="U43" i="244" s="1"/>
  <c r="P43" i="244"/>
  <c r="I43" i="244"/>
  <c r="J43" i="244" s="1"/>
  <c r="W42" i="244"/>
  <c r="T42" i="244"/>
  <c r="U42" i="244" s="1"/>
  <c r="P42" i="244"/>
  <c r="I42" i="244"/>
  <c r="J42" i="244" s="1"/>
  <c r="W41" i="244"/>
  <c r="T41" i="244"/>
  <c r="U41" i="244" s="1"/>
  <c r="P41" i="244"/>
  <c r="I41" i="244"/>
  <c r="J41" i="244" s="1"/>
  <c r="W40" i="244"/>
  <c r="T40" i="244"/>
  <c r="U40" i="244" s="1"/>
  <c r="P40" i="244"/>
  <c r="I40" i="244"/>
  <c r="J40" i="244" s="1"/>
  <c r="W39" i="244"/>
  <c r="T39" i="244"/>
  <c r="U39" i="244" s="1"/>
  <c r="P39" i="244"/>
  <c r="I39" i="244"/>
  <c r="J39" i="244" s="1"/>
  <c r="W38" i="244"/>
  <c r="T38" i="244"/>
  <c r="U38" i="244" s="1"/>
  <c r="P38" i="244"/>
  <c r="I38" i="244"/>
  <c r="J38" i="244" s="1"/>
  <c r="W37" i="244"/>
  <c r="T37" i="244"/>
  <c r="U37" i="244" s="1"/>
  <c r="P37" i="244"/>
  <c r="I37" i="244"/>
  <c r="J37" i="244" s="1"/>
  <c r="W36" i="244"/>
  <c r="T36" i="244"/>
  <c r="U36" i="244" s="1"/>
  <c r="P36" i="244"/>
  <c r="W35" i="244"/>
  <c r="T35" i="244"/>
  <c r="P35" i="244"/>
  <c r="I35" i="244"/>
  <c r="L31" i="244"/>
  <c r="M30" i="244"/>
  <c r="N30" i="244" s="1"/>
  <c r="M29" i="244"/>
  <c r="O24" i="244"/>
  <c r="M24" i="244"/>
  <c r="L24" i="244"/>
  <c r="N23" i="244"/>
  <c r="P23" i="244" s="1"/>
  <c r="N22" i="244"/>
  <c r="O21" i="244"/>
  <c r="N21" i="244"/>
  <c r="F39" i="244" s="1"/>
  <c r="M21" i="244"/>
  <c r="L21" i="244"/>
  <c r="P20" i="244"/>
  <c r="L15" i="244"/>
  <c r="M14" i="244"/>
  <c r="N14" i="244" s="1"/>
  <c r="M13" i="244"/>
  <c r="L12" i="244"/>
  <c r="M11" i="244"/>
  <c r="N11" i="244" s="1"/>
  <c r="M10" i="244"/>
  <c r="L9" i="244"/>
  <c r="M8" i="244"/>
  <c r="N8" i="244" s="1"/>
  <c r="M7" i="244"/>
  <c r="N7" i="244" s="1"/>
  <c r="M6" i="244"/>
  <c r="N6" i="244" s="1"/>
  <c r="M5" i="244"/>
  <c r="M34" i="243"/>
  <c r="N34" i="243" s="1"/>
  <c r="M33" i="243"/>
  <c r="T40" i="243"/>
  <c r="T41" i="243"/>
  <c r="T42" i="243"/>
  <c r="U42" i="243" s="1"/>
  <c r="T43" i="243"/>
  <c r="U43" i="243" s="1"/>
  <c r="T44" i="243"/>
  <c r="U44" i="243" s="1"/>
  <c r="T45" i="243"/>
  <c r="U45" i="243" s="1"/>
  <c r="T46" i="243"/>
  <c r="U46" i="243" s="1"/>
  <c r="T47" i="243"/>
  <c r="U47" i="243" s="1"/>
  <c r="T48" i="243"/>
  <c r="U48" i="243" s="1"/>
  <c r="T49" i="243"/>
  <c r="U49" i="243" s="1"/>
  <c r="T50" i="243"/>
  <c r="U50" i="243" s="1"/>
  <c r="T39" i="243"/>
  <c r="U39" i="243" s="1"/>
  <c r="AB51" i="243"/>
  <c r="AB52" i="243" s="1"/>
  <c r="AA51" i="243"/>
  <c r="AA52" i="243" s="1"/>
  <c r="Z51" i="243"/>
  <c r="Y51" i="243"/>
  <c r="Y52" i="243" s="1"/>
  <c r="X51" i="243"/>
  <c r="X52" i="243" s="1"/>
  <c r="V51" i="243"/>
  <c r="V52" i="243" s="1"/>
  <c r="S51" i="243"/>
  <c r="S52" i="243" s="1"/>
  <c r="R51" i="243"/>
  <c r="Q51" i="243"/>
  <c r="Q52" i="243" s="1"/>
  <c r="O51" i="243"/>
  <c r="O52" i="243" s="1"/>
  <c r="N51" i="243"/>
  <c r="N52" i="243" s="1"/>
  <c r="M51" i="243"/>
  <c r="M52" i="243" s="1"/>
  <c r="L51" i="243"/>
  <c r="L52" i="243" s="1"/>
  <c r="H51" i="243"/>
  <c r="H52" i="243" s="1"/>
  <c r="W50" i="243"/>
  <c r="P50" i="243"/>
  <c r="I50" i="243"/>
  <c r="J50" i="243" s="1"/>
  <c r="W49" i="243"/>
  <c r="P49" i="243"/>
  <c r="I49" i="243"/>
  <c r="J49" i="243" s="1"/>
  <c r="W48" i="243"/>
  <c r="P48" i="243"/>
  <c r="I48" i="243"/>
  <c r="J48" i="243" s="1"/>
  <c r="W47" i="243"/>
  <c r="P47" i="243"/>
  <c r="I47" i="243"/>
  <c r="J47" i="243" s="1"/>
  <c r="W46" i="243"/>
  <c r="P46" i="243"/>
  <c r="I46" i="243"/>
  <c r="J46" i="243" s="1"/>
  <c r="W45" i="243"/>
  <c r="P45" i="243"/>
  <c r="I45" i="243"/>
  <c r="J45" i="243" s="1"/>
  <c r="W44" i="243"/>
  <c r="P44" i="243"/>
  <c r="I44" i="243"/>
  <c r="J44" i="243" s="1"/>
  <c r="W43" i="243"/>
  <c r="P43" i="243"/>
  <c r="I43" i="243"/>
  <c r="J43" i="243" s="1"/>
  <c r="W42" i="243"/>
  <c r="P42" i="243"/>
  <c r="I42" i="243"/>
  <c r="J42" i="243" s="1"/>
  <c r="W41" i="243"/>
  <c r="U41" i="243"/>
  <c r="P41" i="243"/>
  <c r="I41" i="243"/>
  <c r="J41" i="243" s="1"/>
  <c r="W40" i="243"/>
  <c r="U40" i="243"/>
  <c r="P40" i="243"/>
  <c r="I40" i="243"/>
  <c r="J40" i="243" s="1"/>
  <c r="W39" i="243"/>
  <c r="P39" i="243"/>
  <c r="I39" i="243"/>
  <c r="J39" i="243" s="1"/>
  <c r="L35" i="243"/>
  <c r="M35" i="243"/>
  <c r="F46" i="243" s="1"/>
  <c r="O28" i="243"/>
  <c r="M28" i="243"/>
  <c r="L28" i="243"/>
  <c r="N27" i="243"/>
  <c r="P27" i="243" s="1"/>
  <c r="N26" i="243"/>
  <c r="O25" i="243"/>
  <c r="N25" i="243"/>
  <c r="F43" i="243" s="1"/>
  <c r="M25" i="243"/>
  <c r="M29" i="243" s="1"/>
  <c r="L25" i="243"/>
  <c r="L29" i="243" s="1"/>
  <c r="P24" i="243"/>
  <c r="P23" i="243"/>
  <c r="P22" i="243"/>
  <c r="P21" i="243"/>
  <c r="L16" i="243"/>
  <c r="M15" i="243"/>
  <c r="N15" i="243" s="1"/>
  <c r="N14" i="243"/>
  <c r="M14" i="243"/>
  <c r="L13" i="243"/>
  <c r="M12" i="243"/>
  <c r="N12" i="243" s="1"/>
  <c r="M11" i="243"/>
  <c r="L10" i="243"/>
  <c r="M9" i="243"/>
  <c r="N9" i="243" s="1"/>
  <c r="M8" i="243"/>
  <c r="N8" i="243" s="1"/>
  <c r="M7" i="243"/>
  <c r="N7" i="243" s="1"/>
  <c r="M6" i="243"/>
  <c r="N6" i="243" s="1"/>
  <c r="M5" i="243"/>
  <c r="N13" i="245" l="1"/>
  <c r="M32" i="245"/>
  <c r="F43" i="245" s="1"/>
  <c r="M13" i="245"/>
  <c r="F37" i="245" s="1"/>
  <c r="O29" i="243"/>
  <c r="M16" i="243"/>
  <c r="O25" i="244"/>
  <c r="L17" i="245"/>
  <c r="F44" i="245" s="1"/>
  <c r="O26" i="245"/>
  <c r="L17" i="243"/>
  <c r="M13" i="243"/>
  <c r="F40" i="243" s="1"/>
  <c r="N16" i="243"/>
  <c r="N28" i="243"/>
  <c r="F44" i="243" s="1"/>
  <c r="J51" i="243"/>
  <c r="J52" i="243" s="1"/>
  <c r="P48" i="245"/>
  <c r="P49" i="245" s="1"/>
  <c r="T48" i="245"/>
  <c r="T49" i="245" s="1"/>
  <c r="M10" i="245"/>
  <c r="F36" i="245" s="1"/>
  <c r="M16" i="245"/>
  <c r="M17" i="245" s="1"/>
  <c r="N30" i="245"/>
  <c r="N32" i="245" s="1"/>
  <c r="U36" i="245"/>
  <c r="U48" i="245" s="1"/>
  <c r="U49" i="245" s="1"/>
  <c r="W48" i="245"/>
  <c r="W49" i="245" s="1"/>
  <c r="L25" i="244"/>
  <c r="M25" i="244"/>
  <c r="M15" i="244"/>
  <c r="I47" i="244"/>
  <c r="I48" i="244" s="1"/>
  <c r="N24" i="244"/>
  <c r="F40" i="244" s="1"/>
  <c r="T47" i="244"/>
  <c r="T48" i="244" s="1"/>
  <c r="W47" i="244"/>
  <c r="W48" i="244" s="1"/>
  <c r="L16" i="244"/>
  <c r="F43" i="244" s="1"/>
  <c r="P22" i="244"/>
  <c r="P24" i="244" s="1"/>
  <c r="M12" i="244"/>
  <c r="F36" i="244" s="1"/>
  <c r="N13" i="244"/>
  <c r="N15" i="244" s="1"/>
  <c r="M31" i="244"/>
  <c r="F42" i="244" s="1"/>
  <c r="J35" i="244"/>
  <c r="L26" i="245"/>
  <c r="P26" i="245"/>
  <c r="P25" i="245"/>
  <c r="J48" i="245"/>
  <c r="J49" i="245" s="1"/>
  <c r="N25" i="245"/>
  <c r="I48" i="245"/>
  <c r="I49" i="245" s="1"/>
  <c r="N14" i="245"/>
  <c r="N16" i="245" s="1"/>
  <c r="N5" i="245"/>
  <c r="N10" i="245" s="1"/>
  <c r="P47" i="244"/>
  <c r="P48" i="244" s="1"/>
  <c r="M9" i="244"/>
  <c r="P21" i="244"/>
  <c r="P25" i="244" s="1"/>
  <c r="N10" i="244"/>
  <c r="N12" i="244" s="1"/>
  <c r="N25" i="244"/>
  <c r="U35" i="244"/>
  <c r="U47" i="244" s="1"/>
  <c r="U48" i="244" s="1"/>
  <c r="J36" i="244"/>
  <c r="J47" i="244" s="1"/>
  <c r="J48" i="244" s="1"/>
  <c r="N5" i="244"/>
  <c r="N9" i="244" s="1"/>
  <c r="N29" i="244"/>
  <c r="N31" i="244" s="1"/>
  <c r="W51" i="243"/>
  <c r="P25" i="243"/>
  <c r="U51" i="243"/>
  <c r="M10" i="243"/>
  <c r="Z52" i="243"/>
  <c r="P51" i="243"/>
  <c r="P52" i="243" s="1"/>
  <c r="F39" i="243"/>
  <c r="F42" i="243" s="1"/>
  <c r="F45" i="243" s="1"/>
  <c r="F49" i="243" s="1"/>
  <c r="F47" i="243"/>
  <c r="F38" i="243"/>
  <c r="I51" i="243"/>
  <c r="I52" i="243" s="1"/>
  <c r="N11" i="243"/>
  <c r="N13" i="243" s="1"/>
  <c r="N5" i="243"/>
  <c r="N10" i="243" s="1"/>
  <c r="P26" i="243"/>
  <c r="P28" i="243" s="1"/>
  <c r="T51" i="243"/>
  <c r="T52" i="243" s="1"/>
  <c r="R52" i="243"/>
  <c r="N33" i="243"/>
  <c r="N35" i="243" s="1"/>
  <c r="F39" i="245" l="1"/>
  <c r="N17" i="243"/>
  <c r="F35" i="245"/>
  <c r="M17" i="243"/>
  <c r="N29" i="243"/>
  <c r="W52" i="243"/>
  <c r="M16" i="244"/>
  <c r="F34" i="244"/>
  <c r="N16" i="244"/>
  <c r="N17" i="245"/>
  <c r="F41" i="245"/>
  <c r="F42" i="245" s="1"/>
  <c r="N26" i="245"/>
  <c r="F35" i="244"/>
  <c r="F38" i="244" s="1"/>
  <c r="F41" i="244" s="1"/>
  <c r="F48" i="244" s="1"/>
  <c r="P29" i="243"/>
  <c r="U52" i="243"/>
  <c r="F52" i="243"/>
  <c r="F50" i="243"/>
  <c r="F51" i="243" s="1"/>
  <c r="F45" i="244" l="1"/>
  <c r="F49" i="245"/>
  <c r="F47" i="245"/>
  <c r="F48" i="245" s="1"/>
  <c r="F46" i="245"/>
  <c r="F46" i="244"/>
  <c r="F47" i="24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Patricio Brzovic</author>
  </authors>
  <commentList>
    <comment ref="T38" authorId="0" shapeId="0" xr:uid="{86B9EF42-5B93-41F7-B513-25548D23DF26}">
      <text>
        <r>
          <rPr>
            <sz val="9"/>
            <color indexed="81"/>
            <rFont val="Tahoma"/>
            <family val="2"/>
          </rPr>
          <t xml:space="preserve">Tasa 13%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Patricio Brzovic</author>
  </authors>
  <commentList>
    <comment ref="T33" authorId="0" shapeId="0" xr:uid="{9F5D91CD-4740-4E38-A6EF-A3805333C12D}">
      <text>
        <r>
          <rPr>
            <sz val="9"/>
            <color indexed="81"/>
            <rFont val="Tahoma"/>
            <family val="2"/>
          </rPr>
          <t xml:space="preserve">Tasa 13%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Patricio Brzovic</author>
  </authors>
  <commentList>
    <comment ref="T36" authorId="0" shapeId="0" xr:uid="{61EB0755-6827-4FEA-8C01-1295978682B9}">
      <text>
        <r>
          <rPr>
            <sz val="9"/>
            <color indexed="81"/>
            <rFont val="Tahoma"/>
            <family val="2"/>
          </rPr>
          <t xml:space="preserve">Tasa 13%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Patricio Brzovic</author>
  </authors>
  <commentList>
    <comment ref="T33" authorId="0" shapeId="0" xr:uid="{88EAFE5C-EBA0-49FE-9932-ECE52693F337}">
      <text>
        <r>
          <rPr>
            <sz val="9"/>
            <color indexed="81"/>
            <rFont val="Tahoma"/>
            <family val="2"/>
          </rPr>
          <t xml:space="preserve">Tasa 13%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Patricio Brzovic</author>
  </authors>
  <commentList>
    <comment ref="T37" authorId="0" shapeId="0" xr:uid="{D540CFB0-E6B5-41D2-8EA3-F160FFC751FF}">
      <text>
        <r>
          <rPr>
            <sz val="9"/>
            <color indexed="81"/>
            <rFont val="Tahoma"/>
            <family val="2"/>
          </rPr>
          <t xml:space="preserve">Tasa 13%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Patricio Brzovic</author>
  </authors>
  <commentList>
    <comment ref="T40" authorId="0" shapeId="0" xr:uid="{5641327E-F1C3-4F12-8FA1-00F8AB99810F}">
      <text>
        <r>
          <rPr>
            <sz val="9"/>
            <color indexed="81"/>
            <rFont val="Tahoma"/>
            <family val="2"/>
          </rPr>
          <t xml:space="preserve">Tasa 13%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Patricio Brzovic</author>
  </authors>
  <commentList>
    <comment ref="T36" authorId="0" shapeId="0" xr:uid="{691B8314-F240-4050-8579-9504F77D5F35}">
      <text>
        <r>
          <rPr>
            <sz val="9"/>
            <color indexed="81"/>
            <rFont val="Tahoma"/>
            <family val="2"/>
          </rPr>
          <t xml:space="preserve">Tasa 13%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Patricio Brzovic</author>
  </authors>
  <commentList>
    <comment ref="T35" authorId="0" shapeId="0" xr:uid="{BABD769C-9D97-48FE-AFB9-55129122E2BB}">
      <text>
        <r>
          <rPr>
            <sz val="9"/>
            <color indexed="81"/>
            <rFont val="Tahoma"/>
            <family val="2"/>
          </rPr>
          <t xml:space="preserve">Tasa 13%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Patricio Brzovic</author>
  </authors>
  <commentList>
    <comment ref="F23" authorId="0" shapeId="0" xr:uid="{223C2C61-0049-408E-9FB3-8AF214E8C6C0}">
      <text>
        <r>
          <rPr>
            <sz val="9"/>
            <color indexed="81"/>
            <rFont val="Tahoma"/>
            <family val="2"/>
          </rPr>
          <t xml:space="preserve">De Fac 68672742
del 01-04-2023
</t>
        </r>
      </text>
    </comment>
    <comment ref="F24" authorId="0" shapeId="0" xr:uid="{A86C289E-DB14-4664-AFA1-DEE0C64AE028}">
      <text>
        <r>
          <rPr>
            <sz val="9"/>
            <color indexed="81"/>
            <rFont val="Tahoma"/>
            <family val="2"/>
          </rPr>
          <t xml:space="preserve">Corrige error Dirección BCL en Fac 68672742
</t>
        </r>
      </text>
    </comment>
    <comment ref="T35" authorId="0" shapeId="0" xr:uid="{6417A5F1-1D35-4DCC-B260-355329B858EB}">
      <text>
        <r>
          <rPr>
            <sz val="9"/>
            <color indexed="81"/>
            <rFont val="Tahoma"/>
            <family val="2"/>
          </rPr>
          <t xml:space="preserve">Tasa 13%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Patricio Brzovic</author>
  </authors>
  <commentList>
    <comment ref="T35" authorId="0" shapeId="0" xr:uid="{5698FFAF-4D2F-4C7E-A953-398957689A36}">
      <text>
        <r>
          <rPr>
            <sz val="9"/>
            <color indexed="81"/>
            <rFont val="Tahoma"/>
            <family val="2"/>
          </rPr>
          <t xml:space="preserve">Tasa 13%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Patricio Brzovic</author>
  </authors>
  <commentList>
    <comment ref="T34" authorId="0" shapeId="0" xr:uid="{7655D9D2-5F48-4634-8401-BA8F1EEC428D}">
      <text>
        <r>
          <rPr>
            <sz val="9"/>
            <color indexed="81"/>
            <rFont val="Tahoma"/>
            <family val="2"/>
          </rPr>
          <t xml:space="preserve">Tasa 13%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Patricio Brzovic</author>
  </authors>
  <commentList>
    <comment ref="T38" authorId="0" shapeId="0" xr:uid="{EF104CAE-C7FA-46E1-9693-D0EB59A8FA23}">
      <text>
        <r>
          <rPr>
            <sz val="9"/>
            <color indexed="81"/>
            <rFont val="Tahoma"/>
            <family val="2"/>
          </rPr>
          <t xml:space="preserve">Tasa 13%
</t>
        </r>
      </text>
    </comment>
  </commentList>
</comments>
</file>

<file path=xl/sharedStrings.xml><?xml version="1.0" encoding="utf-8"?>
<sst xmlns="http://schemas.openxmlformats.org/spreadsheetml/2006/main" count="1690" uniqueCount="126">
  <si>
    <t>Cliente</t>
  </si>
  <si>
    <t>Iva</t>
  </si>
  <si>
    <t>Total</t>
  </si>
  <si>
    <t>LIBRO DE VENTAS</t>
  </si>
  <si>
    <t>Proveedor</t>
  </si>
  <si>
    <t>Rut</t>
  </si>
  <si>
    <t>LIBRO DE COMPRAS</t>
  </si>
  <si>
    <t>RETENCION DE SEGUNDA CATEGORIA</t>
  </si>
  <si>
    <t>Prestador</t>
  </si>
  <si>
    <t>Bruto</t>
  </si>
  <si>
    <t>Líquido</t>
  </si>
  <si>
    <t>*</t>
  </si>
  <si>
    <t>PPM</t>
  </si>
  <si>
    <t>Iva Ventas</t>
  </si>
  <si>
    <t>Iva Compras</t>
  </si>
  <si>
    <t>Iva a Pagar</t>
  </si>
  <si>
    <t>Total Libro de Ventas</t>
  </si>
  <si>
    <t>Total Libro de Compras</t>
  </si>
  <si>
    <t>Total Rentención 2° Categoría</t>
  </si>
  <si>
    <t>Total a Pagar</t>
  </si>
  <si>
    <t>Impuesto Final con PPM</t>
  </si>
  <si>
    <t>Porcentaje  Final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</si>
  <si>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</si>
  <si>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</si>
  <si>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</si>
  <si>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</si>
  <si>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</si>
  <si>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</si>
  <si>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</si>
  <si>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</si>
  <si>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</si>
  <si>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</si>
  <si>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</si>
  <si>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</si>
  <si>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Retenciones</t>
  </si>
  <si>
    <t>Exenta</t>
  </si>
  <si>
    <t>Acumulado</t>
  </si>
  <si>
    <t>Día</t>
  </si>
  <si>
    <t>Mes</t>
  </si>
  <si>
    <t>Año</t>
  </si>
  <si>
    <t>Fecha Emisión</t>
  </si>
  <si>
    <t>Cant</t>
  </si>
  <si>
    <t>Doc</t>
  </si>
  <si>
    <t>N° de Boleta</t>
  </si>
  <si>
    <t>RESUMEN COMPRAS, VENTAS, RETENCIONES, REMANENTES Y PPM</t>
  </si>
  <si>
    <t>NC Ventas</t>
  </si>
  <si>
    <t>NC compras</t>
  </si>
  <si>
    <t>Ingreso Neto</t>
  </si>
  <si>
    <t>Total Notas de Crédito de Compra</t>
  </si>
  <si>
    <t>Total Facturas de Compra</t>
  </si>
  <si>
    <t>Total Notas de Crédito de Venta</t>
  </si>
  <si>
    <t>Total Facturas de Venta</t>
  </si>
  <si>
    <t>Afecta</t>
  </si>
  <si>
    <t>Período</t>
  </si>
  <si>
    <t>Promedio</t>
  </si>
  <si>
    <t>VENTAS</t>
  </si>
  <si>
    <t xml:space="preserve">% </t>
  </si>
  <si>
    <t xml:space="preserve">Monto </t>
  </si>
  <si>
    <t>Arriendo</t>
  </si>
  <si>
    <t>Patente</t>
  </si>
  <si>
    <t>Previred</t>
  </si>
  <si>
    <t>Adicional</t>
  </si>
  <si>
    <t>Movilización</t>
  </si>
  <si>
    <t>Subtotal</t>
  </si>
  <si>
    <t>ND Ventas</t>
  </si>
  <si>
    <t>Total Notas de Débito de Venta</t>
  </si>
  <si>
    <t>Remanente Crédito Mes Anterior</t>
  </si>
  <si>
    <t>Adiconal</t>
  </si>
  <si>
    <t>Gastos Comu</t>
  </si>
  <si>
    <t>GASTOS SIN FACTURA</t>
  </si>
  <si>
    <t>Dìa</t>
  </si>
  <si>
    <t>Nº Fac/NdC</t>
  </si>
  <si>
    <t>Google Suite</t>
  </si>
  <si>
    <t>HONORARIOS</t>
  </si>
  <si>
    <t>Retención</t>
  </si>
  <si>
    <t>REMUNERACIONES</t>
  </si>
  <si>
    <t>Sueldos</t>
  </si>
  <si>
    <t>FA</t>
  </si>
  <si>
    <t>NC</t>
  </si>
  <si>
    <t>ND</t>
  </si>
  <si>
    <t>BO</t>
  </si>
  <si>
    <t xml:space="preserve"> Crédito o Débito</t>
  </si>
  <si>
    <t>N° Factura o Nota</t>
  </si>
  <si>
    <t>COMPRAS CON FACTURA</t>
  </si>
  <si>
    <t>SEPTIEMBRE</t>
  </si>
  <si>
    <t>Creativa Datacenter SPA</t>
  </si>
  <si>
    <t>Virtual Pyme SPA</t>
  </si>
  <si>
    <t>OCTUBRE</t>
  </si>
  <si>
    <t>NOVIEMBRE</t>
  </si>
  <si>
    <t>Renta Nacional Compañía De Seguros Generales S. A.</t>
  </si>
  <si>
    <t>DICIEMBRE</t>
  </si>
  <si>
    <t>RESUMEN ENERO 2023</t>
  </si>
  <si>
    <t>ENERO</t>
  </si>
  <si>
    <t xml:space="preserve">BCI Seguros Generales S. A. </t>
  </si>
  <si>
    <t>K</t>
  </si>
  <si>
    <t xml:space="preserve">Liberty Compañía de Seguros Generales S. A. </t>
  </si>
  <si>
    <t>Reale Chile Seguros Generales S. A.</t>
  </si>
  <si>
    <t>Ret 13%</t>
  </si>
  <si>
    <t>FEBRERO</t>
  </si>
  <si>
    <t>RESUMEN FEBRERO 2023</t>
  </si>
  <si>
    <t>RESUMEN MARZO 2023</t>
  </si>
  <si>
    <t>ABRIL</t>
  </si>
  <si>
    <t>RESUMEN ABRIL 2023</t>
  </si>
  <si>
    <t>MARZO</t>
  </si>
  <si>
    <t xml:space="preserve">Telefónica Móviles Chile S. A. </t>
  </si>
  <si>
    <t>BRZOVIC CABRERA LTDA. - RUT 77.605.036-9</t>
  </si>
  <si>
    <t>RESUMEN MAYO 2023</t>
  </si>
  <si>
    <t>MAYO</t>
  </si>
  <si>
    <t>Banco Itaú Chile</t>
  </si>
  <si>
    <t>Creattiva Datacenter SPA</t>
  </si>
  <si>
    <t>JUNIO</t>
  </si>
  <si>
    <t>RESUMEN JUNIO 2023</t>
  </si>
  <si>
    <t>JULIO</t>
  </si>
  <si>
    <t>RESUMEN JULIO 2023</t>
  </si>
  <si>
    <t>HDI Seguros S. A.</t>
  </si>
  <si>
    <t xml:space="preserve">FID Chile Seguros Generales S. A. </t>
  </si>
  <si>
    <t>AGOSTO</t>
  </si>
  <si>
    <t>RESUMEN AGOSTO 2023</t>
  </si>
  <si>
    <t>Distribuidora De Industrias Nacionales S. A.</t>
  </si>
  <si>
    <t>Bar Liguria Ltda.</t>
  </si>
  <si>
    <t>RESUMEN SEPTIEMBRE 2023</t>
  </si>
  <si>
    <t>RESUMEN OCTUBRE 2023</t>
  </si>
  <si>
    <t xml:space="preserve">Zurich Seguros Generales S. A. </t>
  </si>
  <si>
    <t>RESUMEN NOVIEMBRE 2023</t>
  </si>
  <si>
    <t>RESUMEN DICIEMBRE 2023</t>
  </si>
  <si>
    <t>% Iva Real sobre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</si>
</sst>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-mm\-yyyy"/>
    <numFmt numFmtId="165" formatCode="00"/>
    <numFmt numFmtId="166" formatCode="000"/>
    <numFmt numFmtId="167" formatCode="dd\-mm\-yy"/>
    <numFmt numFmtId="168" formatCode="00,000,000"/>
    <numFmt numFmtId="169" formatCode="0000"/>
    <numFmt numFmtId="170" formatCode="0.000%"/>
  </numFmts>
  <fonts count="13" x14ac:knownFonts="1">
    <font>
      <sz val="10"/>
      <name val="Arial"/>
    </font>
    <font>
      <sz val="10"/>
      <name val="Arial"/>
      <family val="2"/>
    </font>
    <font>
      <sz val="9"/>
      <color indexed="81"/>
      <name val="Tahoma"/>
      <family val="2"/>
    </font>
    <font>
      <b/>
      <sz val="8"/>
      <name val="Calibri"/>
      <family val="2"/>
    </font>
    <font>
      <sz val="8"/>
      <name val="Calibri"/>
      <family val="2"/>
    </font>
    <font>
      <b/>
      <sz val="8"/>
      <color indexed="14"/>
      <name val="Calibri"/>
      <family val="2"/>
    </font>
    <font>
      <b/>
      <sz val="8"/>
      <color indexed="12"/>
      <name val="Calibri"/>
      <family val="2"/>
    </font>
    <font>
      <sz val="8"/>
      <color rgb="FFFF0000"/>
      <name val="Calibri"/>
      <family val="2"/>
    </font>
    <font>
      <b/>
      <sz val="8"/>
      <color rgb="FFFF0000"/>
      <name val="Calibri"/>
      <family val="2"/>
    </font>
    <font>
      <sz val="8"/>
      <color rgb="FF0000FF"/>
      <name val="Calibri"/>
      <family val="2"/>
    </font>
    <font>
      <b/>
      <sz val="8"/>
      <color rgb="FF0000FF"/>
      <name val="Calibri"/>
      <family val="2"/>
    </font>
    <font>
      <sz val="8"/>
      <color theme="1"/>
      <name val="Calibri"/>
      <family val="2"/>
    </font>
    <font>
      <b/>
      <sz val="8"/>
      <color indexed="1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E0E0E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xfId="0"/>
    <xf numFmtId="165" fontId="3" fillId="0" borderId="0" xfId="0" applyNumberFormat="1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right"/>
    </xf>
    <xf numFmtId="3" fontId="4" fillId="0" borderId="0" xfId="0" applyNumberFormat="1" applyFont="1"/>
    <xf numFmtId="165" fontId="5" fillId="2" borderId="0" xfId="0" applyNumberFormat="1" applyFont="1" applyFill="1" applyAlignment="1">
      <alignment horizontal="left"/>
    </xf>
    <xf numFmtId="164" fontId="4" fillId="2" borderId="0" xfId="0" applyNumberFormat="1" applyFont="1" applyFill="1" applyAlignment="1">
      <alignment horizontal="center"/>
    </xf>
    <xf numFmtId="0" fontId="4" fillId="2" borderId="0" xfId="0" applyFont="1" applyFill="1"/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164" fontId="6" fillId="2" borderId="0" xfId="0" applyNumberFormat="1" applyFont="1" applyFill="1" applyAlignment="1">
      <alignment horizontal="center"/>
    </xf>
    <xf numFmtId="165" fontId="4" fillId="6" borderId="0" xfId="0" applyNumberFormat="1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6" borderId="0" xfId="0" applyFont="1" applyFill="1"/>
    <xf numFmtId="3" fontId="4" fillId="6" borderId="0" xfId="0" applyNumberFormat="1" applyFont="1" applyFill="1" applyAlignment="1">
      <alignment horizontal="right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3" fillId="0" borderId="0" xfId="0" applyFont="1"/>
    <xf numFmtId="3" fontId="3" fillId="0" borderId="0" xfId="0" applyNumberFormat="1" applyFont="1" applyAlignment="1">
      <alignment horizontal="right"/>
    </xf>
    <xf numFmtId="165" fontId="7" fillId="6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6" borderId="0" xfId="0" applyFont="1" applyFill="1"/>
    <xf numFmtId="3" fontId="7" fillId="2" borderId="0" xfId="0" applyNumberFormat="1" applyFont="1" applyFill="1" applyAlignment="1">
      <alignment horizontal="right"/>
    </xf>
    <xf numFmtId="165" fontId="8" fillId="0" borderId="0" xfId="0" applyNumberFormat="1" applyFont="1" applyAlignment="1">
      <alignment horizontal="left"/>
    </xf>
    <xf numFmtId="165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6" fontId="8" fillId="0" borderId="0" xfId="0" applyNumberFormat="1" applyFont="1" applyAlignment="1">
      <alignment horizontal="center"/>
    </xf>
    <xf numFmtId="0" fontId="8" fillId="0" borderId="0" xfId="0" applyFont="1"/>
    <xf numFmtId="3" fontId="8" fillId="0" borderId="0" xfId="0" applyNumberFormat="1" applyFont="1" applyAlignment="1">
      <alignment horizontal="right"/>
    </xf>
    <xf numFmtId="165" fontId="9" fillId="6" borderId="0" xfId="0" applyNumberFormat="1" applyFont="1" applyFill="1" applyAlignment="1">
      <alignment horizontal="center"/>
    </xf>
    <xf numFmtId="0" fontId="9" fillId="6" borderId="0" xfId="0" applyFont="1" applyFill="1" applyAlignment="1">
      <alignment horizontal="center"/>
    </xf>
    <xf numFmtId="166" fontId="9" fillId="6" borderId="0" xfId="0" applyNumberFormat="1" applyFont="1" applyFill="1" applyAlignment="1">
      <alignment horizontal="center"/>
    </xf>
    <xf numFmtId="0" fontId="9" fillId="6" borderId="0" xfId="0" applyFont="1" applyFill="1"/>
    <xf numFmtId="3" fontId="9" fillId="6" borderId="0" xfId="0" applyNumberFormat="1" applyFont="1" applyFill="1" applyAlignment="1">
      <alignment horizontal="right"/>
    </xf>
    <xf numFmtId="165" fontId="10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66" fontId="10" fillId="0" borderId="0" xfId="0" applyNumberFormat="1" applyFont="1" applyAlignment="1">
      <alignment horizontal="center"/>
    </xf>
    <xf numFmtId="0" fontId="10" fillId="0" borderId="0" xfId="0" applyFont="1"/>
    <xf numFmtId="3" fontId="10" fillId="0" borderId="0" xfId="0" applyNumberFormat="1" applyFont="1" applyAlignment="1">
      <alignment horizontal="right"/>
    </xf>
    <xf numFmtId="165" fontId="6" fillId="14" borderId="0" xfId="0" applyNumberFormat="1" applyFont="1" applyFill="1" applyAlignment="1">
      <alignment horizontal="left"/>
    </xf>
    <xf numFmtId="164" fontId="6" fillId="14" borderId="0" xfId="0" applyNumberFormat="1" applyFont="1" applyFill="1" applyAlignment="1">
      <alignment horizontal="center"/>
    </xf>
    <xf numFmtId="0" fontId="3" fillId="14" borderId="0" xfId="0" applyFont="1" applyFill="1"/>
    <xf numFmtId="0" fontId="3" fillId="14" borderId="0" xfId="0" applyFont="1" applyFill="1" applyAlignment="1">
      <alignment horizontal="center"/>
    </xf>
    <xf numFmtId="3" fontId="10" fillId="14" borderId="0" xfId="0" applyNumberFormat="1" applyFont="1" applyFill="1" applyAlignment="1">
      <alignment horizontal="right"/>
    </xf>
    <xf numFmtId="3" fontId="9" fillId="0" borderId="0" xfId="0" applyNumberFormat="1" applyFont="1" applyAlignment="1">
      <alignment horizontal="right"/>
    </xf>
    <xf numFmtId="0" fontId="9" fillId="0" borderId="0" xfId="0" applyFont="1" applyAlignment="1">
      <alignment horizontal="left"/>
    </xf>
    <xf numFmtId="0" fontId="9" fillId="0" borderId="0" xfId="0" applyFont="1"/>
    <xf numFmtId="165" fontId="5" fillId="7" borderId="0" xfId="0" applyNumberFormat="1" applyFont="1" applyFill="1" applyAlignment="1">
      <alignment horizontal="left"/>
    </xf>
    <xf numFmtId="164" fontId="4" fillId="7" borderId="0" xfId="0" applyNumberFormat="1" applyFont="1" applyFill="1" applyAlignment="1">
      <alignment horizontal="center"/>
    </xf>
    <xf numFmtId="0" fontId="4" fillId="7" borderId="0" xfId="0" applyFont="1" applyFill="1"/>
    <xf numFmtId="3" fontId="4" fillId="0" borderId="0" xfId="0" applyNumberFormat="1" applyFont="1" applyAlignment="1">
      <alignment horizontal="right"/>
    </xf>
    <xf numFmtId="0" fontId="6" fillId="7" borderId="0" xfId="0" applyFont="1" applyFill="1" applyAlignment="1">
      <alignment horizontal="center" vertical="center"/>
    </xf>
    <xf numFmtId="164" fontId="6" fillId="7" borderId="0" xfId="0" applyNumberFormat="1" applyFont="1" applyFill="1" applyAlignment="1">
      <alignment horizontal="center"/>
    </xf>
    <xf numFmtId="165" fontId="4" fillId="7" borderId="0" xfId="0" applyNumberFormat="1" applyFont="1" applyFill="1" applyAlignment="1">
      <alignment horizontal="center" vertical="center"/>
    </xf>
    <xf numFmtId="165" fontId="4" fillId="7" borderId="0" xfId="0" applyNumberFormat="1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7" borderId="0" xfId="0" applyFont="1" applyFill="1" applyAlignment="1">
      <alignment horizontal="left"/>
    </xf>
    <xf numFmtId="168" fontId="4" fillId="7" borderId="0" xfId="0" applyNumberFormat="1" applyFont="1" applyFill="1" applyAlignment="1">
      <alignment horizontal="center"/>
    </xf>
    <xf numFmtId="3" fontId="4" fillId="7" borderId="0" xfId="0" applyNumberFormat="1" applyFont="1" applyFill="1" applyAlignment="1">
      <alignment horizontal="right" vertical="center"/>
    </xf>
    <xf numFmtId="3" fontId="4" fillId="7" borderId="0" xfId="0" applyNumberFormat="1" applyFont="1" applyFill="1" applyAlignment="1">
      <alignment horizontal="right"/>
    </xf>
    <xf numFmtId="0" fontId="11" fillId="7" borderId="0" xfId="0" applyFont="1" applyFill="1" applyAlignment="1">
      <alignment horizontal="center" wrapText="1"/>
    </xf>
    <xf numFmtId="167" fontId="3" fillId="0" borderId="0" xfId="0" applyNumberFormat="1" applyFont="1" applyAlignment="1">
      <alignment horizontal="center"/>
    </xf>
    <xf numFmtId="165" fontId="7" fillId="7" borderId="0" xfId="0" applyNumberFormat="1" applyFont="1" applyFill="1" applyAlignment="1">
      <alignment horizontal="center"/>
    </xf>
    <xf numFmtId="167" fontId="7" fillId="7" borderId="0" xfId="0" applyNumberFormat="1" applyFont="1" applyFill="1" applyAlignment="1">
      <alignment horizontal="center"/>
    </xf>
    <xf numFmtId="0" fontId="7" fillId="7" borderId="0" xfId="0" applyFont="1" applyFill="1" applyAlignment="1">
      <alignment horizontal="center" wrapText="1"/>
    </xf>
    <xf numFmtId="0" fontId="7" fillId="7" borderId="0" xfId="0" applyFont="1" applyFill="1"/>
    <xf numFmtId="0" fontId="7" fillId="7" borderId="0" xfId="0" applyFont="1" applyFill="1" applyAlignment="1">
      <alignment horizontal="left"/>
    </xf>
    <xf numFmtId="168" fontId="7" fillId="7" borderId="0" xfId="0" applyNumberFormat="1" applyFont="1" applyFill="1" applyAlignment="1">
      <alignment horizontal="center"/>
    </xf>
    <xf numFmtId="0" fontId="7" fillId="7" borderId="0" xfId="0" applyFont="1" applyFill="1" applyAlignment="1">
      <alignment horizontal="center"/>
    </xf>
    <xf numFmtId="3" fontId="7" fillId="7" borderId="0" xfId="0" applyNumberFormat="1" applyFont="1" applyFill="1" applyAlignment="1">
      <alignment horizontal="right" vertical="center"/>
    </xf>
    <xf numFmtId="3" fontId="7" fillId="7" borderId="0" xfId="0" applyNumberFormat="1" applyFont="1" applyFill="1" applyAlignment="1">
      <alignment horizontal="right"/>
    </xf>
    <xf numFmtId="167" fontId="8" fillId="0" borderId="0" xfId="0" applyNumberFormat="1" applyFont="1" applyAlignment="1">
      <alignment horizontal="center"/>
    </xf>
    <xf numFmtId="165" fontId="6" fillId="7" borderId="0" xfId="0" applyNumberFormat="1" applyFont="1" applyFill="1" applyAlignment="1">
      <alignment horizontal="lef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3" fontId="6" fillId="7" borderId="0" xfId="0" applyNumberFormat="1" applyFont="1" applyFill="1" applyAlignment="1">
      <alignment horizontal="right"/>
    </xf>
    <xf numFmtId="164" fontId="3" fillId="3" borderId="0" xfId="0" applyNumberFormat="1" applyFont="1" applyFill="1" applyAlignment="1">
      <alignment horizontal="center"/>
    </xf>
    <xf numFmtId="3" fontId="3" fillId="10" borderId="0" xfId="0" applyNumberFormat="1" applyFont="1" applyFill="1"/>
    <xf numFmtId="0" fontId="3" fillId="9" borderId="0" xfId="0" applyFont="1" applyFill="1" applyAlignment="1">
      <alignment horizontal="center"/>
    </xf>
    <xf numFmtId="165" fontId="3" fillId="3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left"/>
    </xf>
    <xf numFmtId="3" fontId="3" fillId="9" borderId="0" xfId="0" applyNumberFormat="1" applyFont="1" applyFill="1" applyAlignment="1">
      <alignment horizontal="center"/>
    </xf>
    <xf numFmtId="0" fontId="4" fillId="9" borderId="0" xfId="0" applyFont="1" applyFill="1"/>
    <xf numFmtId="3" fontId="3" fillId="13" borderId="0" xfId="0" applyNumberFormat="1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3" fontId="3" fillId="11" borderId="0" xfId="0" applyNumberFormat="1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10" fontId="3" fillId="12" borderId="0" xfId="0" applyNumberFormat="1" applyFont="1" applyFill="1" applyAlignment="1">
      <alignment horizontal="center"/>
    </xf>
    <xf numFmtId="3" fontId="3" fillId="12" borderId="0" xfId="0" applyNumberFormat="1" applyFont="1" applyFill="1" applyAlignment="1">
      <alignment horizontal="center"/>
    </xf>
    <xf numFmtId="3" fontId="4" fillId="9" borderId="0" xfId="0" applyNumberFormat="1" applyFont="1" applyFill="1"/>
    <xf numFmtId="10" fontId="4" fillId="13" borderId="0" xfId="0" applyNumberFormat="1" applyFont="1" applyFill="1"/>
    <xf numFmtId="3" fontId="4" fillId="13" borderId="0" xfId="0" applyNumberFormat="1" applyFont="1" applyFill="1"/>
    <xf numFmtId="3" fontId="4" fillId="11" borderId="0" xfId="0" applyNumberFormat="1" applyFont="1" applyFill="1"/>
    <xf numFmtId="3" fontId="4" fillId="11" borderId="0" xfId="0" applyNumberFormat="1" applyFont="1" applyFill="1" applyAlignment="1">
      <alignment horizontal="right"/>
    </xf>
    <xf numFmtId="3" fontId="4" fillId="12" borderId="0" xfId="0" applyNumberFormat="1" applyFont="1" applyFill="1"/>
    <xf numFmtId="164" fontId="12" fillId="3" borderId="0" xfId="0" applyNumberFormat="1" applyFont="1" applyFill="1" applyAlignment="1">
      <alignment horizontal="left"/>
    </xf>
    <xf numFmtId="3" fontId="12" fillId="10" borderId="0" xfId="0" applyNumberFormat="1" applyFont="1" applyFill="1"/>
    <xf numFmtId="164" fontId="10" fillId="3" borderId="0" xfId="0" applyNumberFormat="1" applyFont="1" applyFill="1" applyAlignment="1">
      <alignment horizontal="left"/>
    </xf>
    <xf numFmtId="3" fontId="10" fillId="3" borderId="0" xfId="0" applyNumberFormat="1" applyFont="1" applyFill="1" applyAlignment="1">
      <alignment horizontal="right"/>
    </xf>
    <xf numFmtId="3" fontId="3" fillId="3" borderId="0" xfId="0" applyNumberFormat="1" applyFont="1" applyFill="1" applyAlignment="1">
      <alignment horizontal="right"/>
    </xf>
    <xf numFmtId="10" fontId="3" fillId="10" borderId="0" xfId="0" applyNumberFormat="1" applyFont="1" applyFill="1" applyAlignment="1">
      <alignment horizontal="left"/>
    </xf>
    <xf numFmtId="164" fontId="8" fillId="3" borderId="0" xfId="0" applyNumberFormat="1" applyFont="1" applyFill="1" applyAlignment="1">
      <alignment horizontal="left"/>
    </xf>
    <xf numFmtId="164" fontId="6" fillId="3" borderId="0" xfId="0" applyNumberFormat="1" applyFont="1" applyFill="1" applyAlignment="1">
      <alignment horizontal="left"/>
    </xf>
    <xf numFmtId="3" fontId="8" fillId="10" borderId="0" xfId="0" applyNumberFormat="1" applyFont="1" applyFill="1"/>
    <xf numFmtId="3" fontId="10" fillId="10" borderId="0" xfId="0" applyNumberFormat="1" applyFont="1" applyFill="1"/>
    <xf numFmtId="165" fontId="3" fillId="5" borderId="0" xfId="0" applyNumberFormat="1" applyFont="1" applyFill="1" applyAlignment="1">
      <alignment horizontal="left"/>
    </xf>
    <xf numFmtId="164" fontId="3" fillId="5" borderId="0" xfId="0" applyNumberFormat="1" applyFont="1" applyFill="1" applyAlignment="1">
      <alignment horizontal="center"/>
    </xf>
    <xf numFmtId="3" fontId="3" fillId="5" borderId="0" xfId="0" applyNumberFormat="1" applyFont="1" applyFill="1"/>
    <xf numFmtId="10" fontId="3" fillId="5" borderId="0" xfId="0" applyNumberFormat="1" applyFont="1" applyFill="1"/>
    <xf numFmtId="0" fontId="3" fillId="9" borderId="0" xfId="0" applyFont="1" applyFill="1"/>
    <xf numFmtId="3" fontId="3" fillId="9" borderId="0" xfId="0" applyNumberFormat="1" applyFont="1" applyFill="1"/>
    <xf numFmtId="3" fontId="3" fillId="13" borderId="0" xfId="0" applyNumberFormat="1" applyFont="1" applyFill="1"/>
    <xf numFmtId="3" fontId="3" fillId="11" borderId="0" xfId="0" applyNumberFormat="1" applyFont="1" applyFill="1"/>
    <xf numFmtId="3" fontId="3" fillId="12" borderId="0" xfId="0" applyNumberFormat="1" applyFont="1" applyFill="1"/>
    <xf numFmtId="165" fontId="3" fillId="4" borderId="0" xfId="0" applyNumberFormat="1" applyFont="1" applyFill="1" applyAlignment="1">
      <alignment horizontal="left"/>
    </xf>
    <xf numFmtId="164" fontId="4" fillId="4" borderId="0" xfId="0" applyNumberFormat="1" applyFont="1" applyFill="1" applyAlignment="1">
      <alignment horizontal="center"/>
    </xf>
    <xf numFmtId="10" fontId="3" fillId="4" borderId="0" xfId="0" applyNumberFormat="1" applyFont="1" applyFill="1"/>
    <xf numFmtId="0" fontId="7" fillId="0" borderId="0" xfId="0" applyFont="1"/>
    <xf numFmtId="0" fontId="3" fillId="8" borderId="0" xfId="0" applyFont="1" applyFill="1" applyAlignment="1">
      <alignment horizontal="center"/>
    </xf>
    <xf numFmtId="3" fontId="4" fillId="8" borderId="0" xfId="0" applyNumberFormat="1" applyFont="1" applyFill="1"/>
    <xf numFmtId="3" fontId="3" fillId="8" borderId="0" xfId="0" applyNumberFormat="1" applyFont="1" applyFill="1"/>
    <xf numFmtId="165" fontId="5" fillId="15" borderId="0" xfId="0" applyNumberFormat="1" applyFont="1" applyFill="1" applyAlignment="1">
      <alignment horizontal="left"/>
    </xf>
    <xf numFmtId="164" fontId="4" fillId="15" borderId="0" xfId="0" applyNumberFormat="1" applyFont="1" applyFill="1" applyAlignment="1">
      <alignment horizontal="center"/>
    </xf>
    <xf numFmtId="0" fontId="4" fillId="15" borderId="0" xfId="0" applyFont="1" applyFill="1"/>
    <xf numFmtId="0" fontId="6" fillId="15" borderId="0" xfId="0" applyFont="1" applyFill="1" applyAlignment="1">
      <alignment horizontal="center" vertical="center"/>
    </xf>
    <xf numFmtId="164" fontId="6" fillId="15" borderId="0" xfId="0" applyNumberFormat="1" applyFont="1" applyFill="1" applyAlignment="1">
      <alignment horizontal="center"/>
    </xf>
    <xf numFmtId="165" fontId="4" fillId="15" borderId="0" xfId="0" applyNumberFormat="1" applyFont="1" applyFill="1" applyAlignment="1">
      <alignment horizontal="center" vertical="center"/>
    </xf>
    <xf numFmtId="165" fontId="4" fillId="15" borderId="0" xfId="0" applyNumberFormat="1" applyFont="1" applyFill="1" applyAlignment="1">
      <alignment horizontal="center"/>
    </xf>
    <xf numFmtId="0" fontId="4" fillId="15" borderId="0" xfId="0" applyFont="1" applyFill="1" applyAlignment="1">
      <alignment horizontal="center"/>
    </xf>
    <xf numFmtId="166" fontId="4" fillId="15" borderId="0" xfId="0" applyNumberFormat="1" applyFont="1" applyFill="1" applyAlignment="1">
      <alignment horizontal="center"/>
    </xf>
    <xf numFmtId="165" fontId="6" fillId="15" borderId="0" xfId="0" applyNumberFormat="1" applyFont="1" applyFill="1" applyAlignment="1">
      <alignment horizontal="left"/>
    </xf>
    <xf numFmtId="0" fontId="6" fillId="15" borderId="0" xfId="0" applyFont="1" applyFill="1" applyAlignment="1">
      <alignment horizontal="center"/>
    </xf>
    <xf numFmtId="0" fontId="6" fillId="15" borderId="0" xfId="0" applyFont="1" applyFill="1"/>
    <xf numFmtId="0" fontId="4" fillId="15" borderId="0" xfId="0" applyFont="1" applyFill="1" applyAlignment="1">
      <alignment horizontal="left"/>
    </xf>
    <xf numFmtId="0" fontId="4" fillId="15" borderId="0" xfId="0" applyFont="1" applyFill="1" applyAlignment="1">
      <alignment horizontal="left" vertical="center"/>
    </xf>
    <xf numFmtId="168" fontId="4" fillId="15" borderId="0" xfId="0" applyNumberFormat="1" applyFont="1" applyFill="1" applyAlignment="1">
      <alignment horizontal="center"/>
    </xf>
    <xf numFmtId="3" fontId="4" fillId="15" borderId="0" xfId="0" applyNumberFormat="1" applyFont="1" applyFill="1" applyAlignment="1">
      <alignment vertical="center"/>
    </xf>
    <xf numFmtId="3" fontId="4" fillId="15" borderId="0" xfId="0" applyNumberFormat="1" applyFont="1" applyFill="1"/>
    <xf numFmtId="3" fontId="6" fillId="15" borderId="0" xfId="0" applyNumberFormat="1" applyFont="1" applyFill="1" applyAlignment="1">
      <alignment horizontal="center"/>
    </xf>
    <xf numFmtId="3" fontId="6" fillId="15" borderId="0" xfId="0" applyNumberFormat="1" applyFont="1" applyFill="1" applyAlignment="1">
      <alignment horizontal="right"/>
    </xf>
    <xf numFmtId="10" fontId="3" fillId="13" borderId="0" xfId="0" applyNumberFormat="1" applyFont="1" applyFill="1"/>
    <xf numFmtId="0" fontId="10" fillId="9" borderId="0" xfId="0" applyFont="1" applyFill="1"/>
    <xf numFmtId="3" fontId="10" fillId="9" borderId="0" xfId="0" applyNumberFormat="1" applyFont="1" applyFill="1"/>
    <xf numFmtId="10" fontId="10" fillId="13" borderId="0" xfId="0" applyNumberFormat="1" applyFont="1" applyFill="1"/>
    <xf numFmtId="3" fontId="10" fillId="13" borderId="0" xfId="0" applyNumberFormat="1" applyFont="1" applyFill="1"/>
    <xf numFmtId="3" fontId="10" fillId="11" borderId="0" xfId="0" applyNumberFormat="1" applyFont="1" applyFill="1"/>
    <xf numFmtId="3" fontId="10" fillId="12" borderId="0" xfId="0" applyNumberFormat="1" applyFont="1" applyFill="1"/>
    <xf numFmtId="3" fontId="10" fillId="8" borderId="0" xfId="0" applyNumberFormat="1" applyFont="1" applyFill="1"/>
    <xf numFmtId="3" fontId="3" fillId="0" borderId="0" xfId="0" applyNumberFormat="1" applyFont="1" applyAlignment="1">
      <alignment horizontal="center"/>
    </xf>
    <xf numFmtId="170" fontId="7" fillId="0" borderId="0" xfId="0" applyNumberFormat="1" applyFont="1"/>
    <xf numFmtId="170" fontId="8" fillId="0" borderId="0" xfId="0" applyNumberFormat="1" applyFont="1"/>
    <xf numFmtId="170" fontId="3" fillId="0" borderId="0" xfId="0" applyNumberFormat="1" applyFont="1"/>
    <xf numFmtId="170" fontId="4" fillId="0" borderId="0" xfId="0" applyNumberFormat="1" applyFont="1"/>
    <xf numFmtId="0" fontId="3" fillId="7" borderId="0" xfId="0" applyFont="1" applyFill="1" applyAlignment="1">
      <alignment horizontal="center"/>
    </xf>
    <xf numFmtId="3" fontId="4" fillId="7" borderId="0" xfId="0" applyNumberFormat="1" applyFont="1" applyFill="1"/>
    <xf numFmtId="3" fontId="3" fillId="7" borderId="0" xfId="0" applyNumberFormat="1" applyFont="1" applyFill="1"/>
    <xf numFmtId="3" fontId="10" fillId="7" borderId="0" xfId="0" applyNumberFormat="1" applyFont="1" applyFill="1"/>
    <xf numFmtId="165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8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horizontal="center"/>
    </xf>
    <xf numFmtId="169" fontId="4" fillId="6" borderId="0" xfId="0" applyNumberFormat="1" applyFont="1" applyFill="1" applyAlignment="1">
      <alignment horizontal="center"/>
    </xf>
    <xf numFmtId="168" fontId="4" fillId="6" borderId="0" xfId="0" applyNumberFormat="1" applyFont="1" applyFill="1" applyAlignment="1">
      <alignment horizontal="center"/>
    </xf>
    <xf numFmtId="168" fontId="7" fillId="6" borderId="0" xfId="0" applyNumberFormat="1" applyFont="1" applyFill="1" applyAlignment="1">
      <alignment horizontal="center"/>
    </xf>
    <xf numFmtId="3" fontId="7" fillId="6" borderId="0" xfId="0" applyNumberFormat="1" applyFont="1" applyFill="1" applyAlignment="1">
      <alignment horizontal="right"/>
    </xf>
    <xf numFmtId="168" fontId="9" fillId="6" borderId="0" xfId="0" applyNumberFormat="1" applyFont="1" applyFill="1" applyAlignment="1">
      <alignment horizontal="center"/>
    </xf>
    <xf numFmtId="3" fontId="7" fillId="0" borderId="0" xfId="0" applyNumberFormat="1" applyFont="1" applyAlignment="1">
      <alignment horizontal="right"/>
    </xf>
    <xf numFmtId="3" fontId="7" fillId="0" borderId="0" xfId="0" applyNumberFormat="1" applyFont="1"/>
    <xf numFmtId="3" fontId="10" fillId="0" borderId="0" xfId="0" applyNumberFormat="1" applyFont="1"/>
    <xf numFmtId="164" fontId="9" fillId="0" borderId="0" xfId="0" applyNumberFormat="1" applyFont="1" applyAlignment="1">
      <alignment horizontal="center"/>
    </xf>
    <xf numFmtId="3" fontId="9" fillId="0" borderId="0" xfId="0" applyNumberFormat="1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3" fontId="3" fillId="0" borderId="0" xfId="0" applyNumberFormat="1" applyFont="1"/>
    <xf numFmtId="3" fontId="4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9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164" fontId="6" fillId="2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6" fillId="15" borderId="0" xfId="0" applyFont="1" applyFill="1" applyAlignment="1">
      <alignment horizontal="center"/>
    </xf>
    <xf numFmtId="165" fontId="3" fillId="3" borderId="0" xfId="0" applyNumberFormat="1" applyFont="1" applyFill="1" applyAlignment="1">
      <alignment horizontal="center"/>
    </xf>
    <xf numFmtId="3" fontId="4" fillId="0" borderId="0" xfId="0" applyNumberFormat="1" applyFont="1" applyFill="1" applyAlignment="1">
      <alignment horizontal="center"/>
    </xf>
    <xf numFmtId="3" fontId="4" fillId="0" borderId="0" xfId="0" applyNumberFormat="1" applyFont="1" applyFill="1"/>
    <xf numFmtId="0" fontId="4" fillId="0" borderId="0" xfId="0" applyFont="1" applyFill="1"/>
    <xf numFmtId="3" fontId="4" fillId="0" borderId="0" xfId="0" applyNumberFormat="1" applyFont="1" applyFill="1" applyAlignment="1">
      <alignment horizontal="right"/>
    </xf>
    <xf numFmtId="0" fontId="4" fillId="0" borderId="0" xfId="0" applyFont="1" applyFill="1" applyAlignment="1">
      <alignment horizontal="center"/>
    </xf>
    <xf numFmtId="3" fontId="7" fillId="0" borderId="0" xfId="0" applyNumberFormat="1" applyFont="1" applyFill="1"/>
    <xf numFmtId="0" fontId="7" fillId="0" borderId="0" xfId="0" applyFont="1" applyFill="1"/>
    <xf numFmtId="3" fontId="7" fillId="0" borderId="0" xfId="0" applyNumberFormat="1" applyFont="1" applyFill="1" applyAlignment="1">
      <alignment horizontal="right"/>
    </xf>
    <xf numFmtId="170" fontId="7" fillId="0" borderId="0" xfId="0" applyNumberFormat="1" applyFont="1" applyFill="1"/>
    <xf numFmtId="170" fontId="4" fillId="0" borderId="0" xfId="0" applyNumberFormat="1" applyFont="1" applyFill="1"/>
    <xf numFmtId="0" fontId="4" fillId="0" borderId="0" xfId="0" applyFont="1" applyFill="1" applyAlignment="1">
      <alignment horizontal="left"/>
    </xf>
    <xf numFmtId="3" fontId="3" fillId="0" borderId="0" xfId="0" applyNumberFormat="1" applyFont="1" applyFill="1"/>
    <xf numFmtId="3" fontId="9" fillId="0" borderId="0" xfId="0" applyNumberFormat="1" applyFont="1" applyFill="1" applyAlignment="1">
      <alignment horizontal="right"/>
    </xf>
    <xf numFmtId="0" fontId="9" fillId="0" borderId="0" xfId="0" applyFont="1" applyFill="1" applyAlignment="1">
      <alignment horizontal="left"/>
    </xf>
    <xf numFmtId="3" fontId="4" fillId="0" borderId="0" xfId="0" applyNumberFormat="1" applyFont="1" applyFill="1" applyAlignment="1">
      <alignment horizontal="left"/>
    </xf>
    <xf numFmtId="0" fontId="9" fillId="0" borderId="0" xfId="0" applyFont="1" applyFill="1"/>
    <xf numFmtId="3" fontId="9" fillId="0" borderId="0" xfId="0" applyNumberFormat="1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CCFFCC"/>
      <color rgb="FFFFCCFF"/>
      <color rgb="FFFF00FF"/>
      <color rgb="FF0000FF"/>
      <color rgb="FFFFFF99"/>
      <color rgb="FFCCFFFF"/>
      <color rgb="FF66FF99"/>
      <color rgb="FFFFFFCC"/>
      <color rgb="FFE0E0E0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7EC44-CF7F-40DA-9B4E-28781F867BD2}">
  <dimension ref="A1:AK55"/>
  <sheetViews>
    <sheetView tabSelected="1" zoomScale="117" zoomScaleNormal="117" workbookViewId="0">
      <pane ySplit="4" topLeftCell="A15" activePane="bottomLeft" state="frozen"/>
      <selection pane="bottomLeft" activeCell="X34" sqref="X34"/>
    </sheetView>
  </sheetViews>
  <sheetFormatPr baseColWidth="10" defaultColWidth="11.42578125" defaultRowHeight="11.25" x14ac:dyDescent="0.2"/>
  <cols>
    <col min="1" max="3" width="3.7109375" style="2" customWidth="1"/>
    <col min="4" max="4" width="5.7109375" style="2" customWidth="1"/>
    <col min="5" max="5" width="3.7109375" style="2" customWidth="1"/>
    <col min="6" max="10" width="9.28515625" style="2" customWidth="1"/>
    <col min="11" max="11" width="1.7109375" style="2" customWidth="1"/>
    <col min="12" max="17" width="9.28515625" style="2" customWidth="1"/>
    <col min="18" max="18" width="9.28515625" style="4" customWidth="1"/>
    <col min="19" max="28" width="9.28515625" style="2" customWidth="1"/>
    <col min="29" max="16384" width="11.42578125" style="2"/>
  </cols>
  <sheetData>
    <row r="1" spans="1:22" s="4" customFormat="1" x14ac:dyDescent="0.2">
      <c r="A1" s="174" t="s">
        <v>105</v>
      </c>
      <c r="B1" s="175"/>
      <c r="C1" s="175"/>
      <c r="D1" s="175"/>
      <c r="E1" s="176"/>
      <c r="F1" s="176"/>
      <c r="G1" s="37" t="s">
        <v>44</v>
      </c>
      <c r="H1" s="50"/>
      <c r="I1" s="176"/>
      <c r="J1" s="176"/>
      <c r="K1" s="177"/>
      <c r="L1" s="176"/>
      <c r="M1" s="178" t="s">
        <v>90</v>
      </c>
      <c r="N1" s="177">
        <v>2023</v>
      </c>
      <c r="O1" s="3"/>
      <c r="P1" s="3"/>
      <c r="Q1" s="3"/>
    </row>
    <row r="2" spans="1:22" s="4" customFormat="1" x14ac:dyDescent="0.2">
      <c r="A2" s="5" t="s">
        <v>3</v>
      </c>
      <c r="B2" s="6"/>
      <c r="C2" s="6"/>
      <c r="D2" s="6"/>
      <c r="E2" s="6"/>
      <c r="F2" s="7"/>
      <c r="G2" s="2"/>
      <c r="H2" s="2"/>
      <c r="I2" s="2"/>
      <c r="J2" s="8"/>
      <c r="K2" s="8"/>
      <c r="L2" s="3"/>
      <c r="M2" s="3"/>
      <c r="N2" s="3"/>
      <c r="O2" s="3"/>
      <c r="P2" s="3"/>
      <c r="Q2" s="3"/>
    </row>
    <row r="3" spans="1:22" s="4" customFormat="1" x14ac:dyDescent="0.2">
      <c r="A3" s="9" t="s">
        <v>41</v>
      </c>
      <c r="B3" s="189" t="s">
        <v>40</v>
      </c>
      <c r="C3" s="189"/>
      <c r="D3" s="189"/>
      <c r="E3" s="190" t="s">
        <v>82</v>
      </c>
      <c r="F3" s="190"/>
      <c r="G3" s="10"/>
      <c r="H3" s="10"/>
      <c r="I3" s="10"/>
      <c r="J3" s="10"/>
      <c r="K3" s="10"/>
      <c r="L3" s="11"/>
      <c r="M3" s="11"/>
      <c r="N3" s="11"/>
      <c r="O3" s="11"/>
      <c r="P3" s="11"/>
      <c r="Q3" s="11"/>
    </row>
    <row r="4" spans="1:22" s="4" customFormat="1" x14ac:dyDescent="0.2">
      <c r="A4" s="9" t="s">
        <v>42</v>
      </c>
      <c r="B4" s="12" t="s">
        <v>37</v>
      </c>
      <c r="C4" s="12" t="s">
        <v>38</v>
      </c>
      <c r="D4" s="12" t="s">
        <v>39</v>
      </c>
      <c r="E4" s="190" t="s">
        <v>81</v>
      </c>
      <c r="F4" s="190"/>
      <c r="G4" s="9"/>
      <c r="H4" s="9" t="s">
        <v>0</v>
      </c>
      <c r="I4" s="9"/>
      <c r="J4" s="9" t="s">
        <v>5</v>
      </c>
      <c r="K4" s="9"/>
      <c r="L4" s="9" t="s">
        <v>52</v>
      </c>
      <c r="M4" s="9" t="s">
        <v>1</v>
      </c>
      <c r="N4" s="9" t="s">
        <v>2</v>
      </c>
      <c r="O4" s="2"/>
      <c r="P4" s="2"/>
      <c r="Q4" s="2"/>
    </row>
    <row r="5" spans="1:22" s="4" customFormat="1" x14ac:dyDescent="0.2">
      <c r="A5" s="13">
        <v>1</v>
      </c>
      <c r="B5" s="13">
        <v>5</v>
      </c>
      <c r="C5" s="13">
        <v>12</v>
      </c>
      <c r="D5" s="14">
        <v>2023</v>
      </c>
      <c r="E5" s="14" t="s">
        <v>77</v>
      </c>
      <c r="F5" s="167">
        <v>57</v>
      </c>
      <c r="G5" s="15" t="s">
        <v>95</v>
      </c>
      <c r="H5" s="15"/>
      <c r="I5" s="15"/>
      <c r="J5" s="168">
        <v>99061000</v>
      </c>
      <c r="K5" s="14">
        <v>2</v>
      </c>
      <c r="L5" s="16">
        <v>238767</v>
      </c>
      <c r="M5" s="16">
        <f t="shared" ref="M5:M11" si="0">ROUND((L5*19%),0)</f>
        <v>45366</v>
      </c>
      <c r="N5" s="16">
        <f>ROUND((L5+M5),0)</f>
        <v>284133</v>
      </c>
      <c r="O5" s="2"/>
      <c r="P5" s="2"/>
      <c r="Q5" s="2"/>
    </row>
    <row r="6" spans="1:22" s="4" customFormat="1" x14ac:dyDescent="0.2">
      <c r="A6" s="13">
        <v>2</v>
      </c>
      <c r="B6" s="13">
        <v>12</v>
      </c>
      <c r="C6" s="13">
        <v>12</v>
      </c>
      <c r="D6" s="14">
        <v>2023</v>
      </c>
      <c r="E6" s="14" t="s">
        <v>77</v>
      </c>
      <c r="F6" s="167">
        <v>58</v>
      </c>
      <c r="G6" s="15" t="s">
        <v>93</v>
      </c>
      <c r="H6" s="15"/>
      <c r="I6" s="15"/>
      <c r="J6" s="168">
        <v>99147000</v>
      </c>
      <c r="K6" s="14" t="s">
        <v>94</v>
      </c>
      <c r="L6" s="16">
        <v>43900</v>
      </c>
      <c r="M6" s="16">
        <f t="shared" si="0"/>
        <v>8341</v>
      </c>
      <c r="N6" s="16">
        <f t="shared" ref="N6:N11" si="1">ROUND((L6+M6),0)</f>
        <v>52241</v>
      </c>
      <c r="O6" s="2"/>
      <c r="P6" s="2"/>
      <c r="Q6" s="2"/>
    </row>
    <row r="7" spans="1:22" s="4" customFormat="1" x14ac:dyDescent="0.2">
      <c r="A7" s="13">
        <v>3</v>
      </c>
      <c r="B7" s="13">
        <v>12</v>
      </c>
      <c r="C7" s="13">
        <v>12</v>
      </c>
      <c r="D7" s="14">
        <v>2023</v>
      </c>
      <c r="E7" s="14" t="s">
        <v>77</v>
      </c>
      <c r="F7" s="167">
        <v>59</v>
      </c>
      <c r="G7" s="15" t="s">
        <v>114</v>
      </c>
      <c r="H7" s="15"/>
      <c r="I7" s="15"/>
      <c r="J7" s="168">
        <v>99231000</v>
      </c>
      <c r="K7" s="14">
        <v>6</v>
      </c>
      <c r="L7" s="16">
        <v>119777</v>
      </c>
      <c r="M7" s="16">
        <f t="shared" si="0"/>
        <v>22758</v>
      </c>
      <c r="N7" s="16">
        <f t="shared" si="1"/>
        <v>142535</v>
      </c>
      <c r="O7" s="2"/>
      <c r="P7" s="2"/>
      <c r="Q7" s="2"/>
      <c r="R7" s="161"/>
      <c r="S7" s="162"/>
      <c r="T7" s="162"/>
      <c r="U7" s="162"/>
      <c r="V7" s="8"/>
    </row>
    <row r="8" spans="1:22" s="4" customFormat="1" x14ac:dyDescent="0.2">
      <c r="A8" s="13">
        <v>4</v>
      </c>
      <c r="B8" s="13">
        <v>12</v>
      </c>
      <c r="C8" s="13">
        <v>12</v>
      </c>
      <c r="D8" s="14">
        <v>2023</v>
      </c>
      <c r="E8" s="14" t="s">
        <v>77</v>
      </c>
      <c r="F8" s="167">
        <v>60</v>
      </c>
      <c r="G8" s="15" t="s">
        <v>114</v>
      </c>
      <c r="H8" s="15"/>
      <c r="I8" s="15"/>
      <c r="J8" s="168">
        <v>99231000</v>
      </c>
      <c r="K8" s="14">
        <v>6</v>
      </c>
      <c r="L8" s="16">
        <v>142276</v>
      </c>
      <c r="M8" s="16">
        <f t="shared" si="0"/>
        <v>27032</v>
      </c>
      <c r="N8" s="16">
        <f t="shared" si="1"/>
        <v>169308</v>
      </c>
      <c r="O8" s="2"/>
      <c r="P8" s="2"/>
      <c r="Q8" s="2"/>
      <c r="R8" s="161"/>
      <c r="S8" s="162"/>
      <c r="T8" s="162"/>
      <c r="U8" s="162"/>
      <c r="V8" s="8"/>
    </row>
    <row r="9" spans="1:22" s="4" customFormat="1" x14ac:dyDescent="0.2">
      <c r="A9" s="13">
        <v>5</v>
      </c>
      <c r="B9" s="13">
        <v>12</v>
      </c>
      <c r="C9" s="13">
        <v>12</v>
      </c>
      <c r="D9" s="14">
        <v>2023</v>
      </c>
      <c r="E9" s="14" t="s">
        <v>77</v>
      </c>
      <c r="F9" s="167">
        <v>61</v>
      </c>
      <c r="G9" s="15" t="s">
        <v>96</v>
      </c>
      <c r="H9" s="15"/>
      <c r="I9" s="15"/>
      <c r="J9" s="168">
        <v>76743492</v>
      </c>
      <c r="K9" s="14">
        <v>8</v>
      </c>
      <c r="L9" s="16">
        <v>37199</v>
      </c>
      <c r="M9" s="16">
        <f t="shared" si="0"/>
        <v>7068</v>
      </c>
      <c r="N9" s="16">
        <f t="shared" si="1"/>
        <v>44267</v>
      </c>
      <c r="O9" s="2"/>
      <c r="P9" s="2"/>
      <c r="Q9" s="2"/>
      <c r="R9" s="161"/>
      <c r="S9" s="162"/>
      <c r="T9" s="162"/>
      <c r="U9" s="162"/>
      <c r="V9" s="8"/>
    </row>
    <row r="10" spans="1:22" s="4" customFormat="1" x14ac:dyDescent="0.2">
      <c r="A10" s="13">
        <v>6</v>
      </c>
      <c r="B10" s="13">
        <v>12</v>
      </c>
      <c r="C10" s="13">
        <v>12</v>
      </c>
      <c r="D10" s="14">
        <v>2023</v>
      </c>
      <c r="E10" s="14" t="s">
        <v>77</v>
      </c>
      <c r="F10" s="167">
        <v>62</v>
      </c>
      <c r="G10" s="15" t="s">
        <v>95</v>
      </c>
      <c r="H10" s="15"/>
      <c r="I10" s="15"/>
      <c r="J10" s="168">
        <v>99061000</v>
      </c>
      <c r="K10" s="14">
        <v>2</v>
      </c>
      <c r="L10" s="16">
        <v>638804</v>
      </c>
      <c r="M10" s="16">
        <f t="shared" si="0"/>
        <v>121373</v>
      </c>
      <c r="N10" s="16">
        <f t="shared" si="1"/>
        <v>760177</v>
      </c>
      <c r="O10" s="2"/>
      <c r="P10" s="2"/>
      <c r="Q10" s="2"/>
      <c r="R10" s="161"/>
      <c r="S10" s="162"/>
      <c r="T10" s="162"/>
      <c r="U10" s="162"/>
      <c r="V10" s="8"/>
    </row>
    <row r="11" spans="1:22" s="4" customFormat="1" x14ac:dyDescent="0.2">
      <c r="A11" s="13">
        <v>7</v>
      </c>
      <c r="B11" s="13">
        <v>21</v>
      </c>
      <c r="C11" s="13">
        <v>12</v>
      </c>
      <c r="D11" s="14">
        <v>2023</v>
      </c>
      <c r="E11" s="14" t="s">
        <v>77</v>
      </c>
      <c r="F11" s="167">
        <v>63</v>
      </c>
      <c r="G11" s="15" t="s">
        <v>96</v>
      </c>
      <c r="H11" s="15"/>
      <c r="I11" s="15"/>
      <c r="J11" s="168">
        <v>76743492</v>
      </c>
      <c r="K11" s="14">
        <v>8</v>
      </c>
      <c r="L11" s="16">
        <v>255306</v>
      </c>
      <c r="M11" s="16">
        <f t="shared" si="0"/>
        <v>48508</v>
      </c>
      <c r="N11" s="16">
        <f t="shared" si="1"/>
        <v>303814</v>
      </c>
      <c r="O11" s="2"/>
      <c r="P11" s="2"/>
      <c r="Q11" s="2"/>
      <c r="R11" s="161"/>
      <c r="S11" s="162"/>
      <c r="T11" s="162"/>
      <c r="U11" s="162"/>
      <c r="V11" s="8"/>
    </row>
    <row r="12" spans="1:22" s="4" customFormat="1" x14ac:dyDescent="0.2">
      <c r="A12" s="1" t="s">
        <v>51</v>
      </c>
      <c r="B12" s="17"/>
      <c r="C12" s="17"/>
      <c r="D12" s="18"/>
      <c r="E12" s="18"/>
      <c r="F12" s="19"/>
      <c r="G12" s="20"/>
      <c r="H12" s="20"/>
      <c r="I12" s="20"/>
      <c r="J12" s="18"/>
      <c r="K12" s="18"/>
      <c r="L12" s="21">
        <f>SUM(L5:L11)</f>
        <v>1476029</v>
      </c>
      <c r="M12" s="21">
        <f>SUM(M5:M11)</f>
        <v>280446</v>
      </c>
      <c r="N12" s="21">
        <f>SUM(N5:N11)</f>
        <v>1756475</v>
      </c>
      <c r="O12" s="2"/>
      <c r="P12" s="2"/>
    </row>
    <row r="13" spans="1:22" s="4" customFormat="1" x14ac:dyDescent="0.2">
      <c r="A13" s="22">
        <v>1</v>
      </c>
      <c r="B13" s="22">
        <v>1</v>
      </c>
      <c r="C13" s="22">
        <v>12</v>
      </c>
      <c r="D13" s="23">
        <v>2023</v>
      </c>
      <c r="E13" s="23" t="s">
        <v>78</v>
      </c>
      <c r="F13" s="22">
        <v>1</v>
      </c>
      <c r="G13" s="24" t="s">
        <v>95</v>
      </c>
      <c r="H13" s="24"/>
      <c r="I13" s="24"/>
      <c r="J13" s="169">
        <v>99061000</v>
      </c>
      <c r="K13" s="23">
        <v>2</v>
      </c>
      <c r="L13" s="170">
        <v>-238767</v>
      </c>
      <c r="M13" s="25">
        <f t="shared" ref="M13:M14" si="2">ROUND((L13*19%),0)</f>
        <v>-45366</v>
      </c>
      <c r="N13" s="25">
        <f>ROUND((L13+M13),0)</f>
        <v>-284133</v>
      </c>
      <c r="O13" s="2"/>
      <c r="P13" s="2"/>
      <c r="Q13" s="2"/>
    </row>
    <row r="14" spans="1:22" s="4" customFormat="1" x14ac:dyDescent="0.2">
      <c r="A14" s="22">
        <v>2</v>
      </c>
      <c r="B14" s="22">
        <v>2</v>
      </c>
      <c r="C14" s="22">
        <v>12</v>
      </c>
      <c r="D14" s="23">
        <v>2023</v>
      </c>
      <c r="E14" s="23" t="s">
        <v>78</v>
      </c>
      <c r="F14" s="22">
        <v>2</v>
      </c>
      <c r="G14" s="24" t="s">
        <v>95</v>
      </c>
      <c r="H14" s="24"/>
      <c r="I14" s="24"/>
      <c r="J14" s="169">
        <v>99061000</v>
      </c>
      <c r="K14" s="23">
        <v>2</v>
      </c>
      <c r="L14" s="170">
        <v>-400037</v>
      </c>
      <c r="M14" s="25">
        <f t="shared" si="2"/>
        <v>-76007</v>
      </c>
      <c r="N14" s="25">
        <f t="shared" ref="N14" si="3">ROUND((L14+M14),0)</f>
        <v>-476044</v>
      </c>
      <c r="O14" s="2"/>
      <c r="P14" s="2"/>
      <c r="Q14" s="2"/>
    </row>
    <row r="15" spans="1:22" s="4" customFormat="1" x14ac:dyDescent="0.2">
      <c r="A15" s="26" t="s">
        <v>50</v>
      </c>
      <c r="B15" s="27"/>
      <c r="C15" s="27"/>
      <c r="D15" s="28"/>
      <c r="E15" s="28"/>
      <c r="F15" s="29"/>
      <c r="G15" s="30"/>
      <c r="H15" s="30"/>
      <c r="I15" s="30"/>
      <c r="J15" s="28"/>
      <c r="K15" s="28"/>
      <c r="L15" s="31">
        <f>SUM(L13:L14)</f>
        <v>-638804</v>
      </c>
      <c r="M15" s="31">
        <f>SUM(M13:M14)</f>
        <v>-121373</v>
      </c>
      <c r="N15" s="31">
        <f>SUM(N13:N14)</f>
        <v>-760177</v>
      </c>
      <c r="O15" s="30"/>
      <c r="P15" s="30"/>
      <c r="Q15" s="2"/>
      <c r="R15" s="2"/>
      <c r="S15" s="2"/>
    </row>
    <row r="16" spans="1:22" s="4" customFormat="1" x14ac:dyDescent="0.2">
      <c r="A16" s="32">
        <v>1</v>
      </c>
      <c r="B16" s="32"/>
      <c r="C16" s="32">
        <v>12</v>
      </c>
      <c r="D16" s="33">
        <v>2023</v>
      </c>
      <c r="E16" s="33" t="s">
        <v>79</v>
      </c>
      <c r="F16" s="34"/>
      <c r="G16" s="35"/>
      <c r="H16" s="35"/>
      <c r="I16" s="35"/>
      <c r="J16" s="171"/>
      <c r="K16" s="33"/>
      <c r="L16" s="36"/>
      <c r="M16" s="36">
        <f t="shared" ref="M16:M17" si="4">ROUND((L16*19%),0)</f>
        <v>0</v>
      </c>
      <c r="N16" s="36">
        <f t="shared" ref="N16:N17" si="5">SUM(L16:M16)</f>
        <v>0</v>
      </c>
      <c r="O16" s="30"/>
      <c r="P16" s="30"/>
      <c r="R16" s="2"/>
    </row>
    <row r="17" spans="1:37" s="4" customFormat="1" x14ac:dyDescent="0.2">
      <c r="A17" s="32">
        <v>2</v>
      </c>
      <c r="B17" s="32"/>
      <c r="C17" s="32">
        <v>12</v>
      </c>
      <c r="D17" s="33">
        <v>2023</v>
      </c>
      <c r="E17" s="33" t="s">
        <v>79</v>
      </c>
      <c r="F17" s="34"/>
      <c r="G17" s="35"/>
      <c r="H17" s="35"/>
      <c r="I17" s="35"/>
      <c r="J17" s="33"/>
      <c r="K17" s="33"/>
      <c r="L17" s="36"/>
      <c r="M17" s="36">
        <f t="shared" si="4"/>
        <v>0</v>
      </c>
      <c r="N17" s="36">
        <f t="shared" si="5"/>
        <v>0</v>
      </c>
      <c r="O17" s="30"/>
      <c r="P17" s="30"/>
      <c r="Q17" s="2"/>
    </row>
    <row r="18" spans="1:37" s="4" customFormat="1" x14ac:dyDescent="0.2">
      <c r="A18" s="37" t="s">
        <v>65</v>
      </c>
      <c r="B18" s="38"/>
      <c r="C18" s="38"/>
      <c r="D18" s="39"/>
      <c r="E18" s="39"/>
      <c r="F18" s="40"/>
      <c r="G18" s="41"/>
      <c r="H18" s="41"/>
      <c r="I18" s="41"/>
      <c r="J18" s="39"/>
      <c r="K18" s="39"/>
      <c r="L18" s="42">
        <f>SUM(L16:L17)</f>
        <v>0</v>
      </c>
      <c r="M18" s="42">
        <f t="shared" ref="M18:N18" si="6">SUM(M16:M17)</f>
        <v>0</v>
      </c>
      <c r="N18" s="42">
        <f t="shared" si="6"/>
        <v>0</v>
      </c>
      <c r="O18" s="30"/>
      <c r="P18" s="30"/>
      <c r="Q18" s="2"/>
    </row>
    <row r="19" spans="1:37" s="4" customFormat="1" x14ac:dyDescent="0.2">
      <c r="A19" s="43" t="s">
        <v>16</v>
      </c>
      <c r="B19" s="44"/>
      <c r="C19" s="44"/>
      <c r="D19" s="44"/>
      <c r="E19" s="44"/>
      <c r="F19" s="45"/>
      <c r="G19" s="45"/>
      <c r="H19" s="45"/>
      <c r="I19" s="45"/>
      <c r="J19" s="46"/>
      <c r="K19" s="46"/>
      <c r="L19" s="47">
        <f>+L12+L15+L18</f>
        <v>837225</v>
      </c>
      <c r="M19" s="47">
        <f>+M12+M15+M18</f>
        <v>159073</v>
      </c>
      <c r="N19" s="47">
        <f>+N12+N15+N18</f>
        <v>996298</v>
      </c>
      <c r="O19" s="2"/>
      <c r="P19" s="2"/>
      <c r="Q19" s="2"/>
      <c r="S19" s="48"/>
      <c r="T19" s="49"/>
      <c r="U19" s="50"/>
    </row>
    <row r="20" spans="1:37" x14ac:dyDescent="0.2">
      <c r="S20" s="48"/>
      <c r="T20" s="49"/>
      <c r="U20" s="50"/>
    </row>
    <row r="21" spans="1:37" s="4" customFormat="1" x14ac:dyDescent="0.2">
      <c r="A21" s="51" t="s">
        <v>6</v>
      </c>
      <c r="B21" s="52"/>
      <c r="C21" s="52"/>
      <c r="D21" s="52"/>
      <c r="E21" s="53"/>
      <c r="F21" s="53"/>
      <c r="G21" s="2"/>
      <c r="H21" s="2"/>
      <c r="I21" s="2"/>
      <c r="J21" s="8"/>
      <c r="K21" s="8"/>
      <c r="L21" s="54"/>
      <c r="M21" s="3"/>
      <c r="N21" s="3"/>
      <c r="O21" s="3"/>
      <c r="P21" s="3"/>
      <c r="Q21" s="3"/>
      <c r="R21" s="205"/>
      <c r="S21" s="206"/>
      <c r="T21" s="207"/>
      <c r="U21" s="50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x14ac:dyDescent="0.2">
      <c r="A22" s="55" t="s">
        <v>41</v>
      </c>
      <c r="B22" s="56" t="s">
        <v>37</v>
      </c>
      <c r="C22" s="56" t="s">
        <v>38</v>
      </c>
      <c r="D22" s="56" t="s">
        <v>39</v>
      </c>
      <c r="E22" s="191" t="s">
        <v>71</v>
      </c>
      <c r="F22" s="191"/>
      <c r="G22" s="55"/>
      <c r="H22" s="55" t="s">
        <v>4</v>
      </c>
      <c r="I22" s="55"/>
      <c r="J22" s="55" t="s">
        <v>5</v>
      </c>
      <c r="K22" s="55"/>
      <c r="L22" s="55" t="s">
        <v>52</v>
      </c>
      <c r="M22" s="55" t="s">
        <v>35</v>
      </c>
      <c r="N22" s="55" t="s">
        <v>1</v>
      </c>
      <c r="O22" s="55" t="s">
        <v>61</v>
      </c>
      <c r="P22" s="55" t="s">
        <v>2</v>
      </c>
      <c r="R22" s="208"/>
      <c r="S22" s="196"/>
      <c r="T22" s="197"/>
    </row>
    <row r="23" spans="1:37" x14ac:dyDescent="0.2">
      <c r="A23" s="57">
        <v>1</v>
      </c>
      <c r="B23" s="58">
        <v>1</v>
      </c>
      <c r="C23" s="58">
        <v>12</v>
      </c>
      <c r="D23" s="58">
        <v>2023</v>
      </c>
      <c r="E23" s="59" t="s">
        <v>77</v>
      </c>
      <c r="F23" s="59">
        <v>69586003</v>
      </c>
      <c r="G23" s="53" t="s">
        <v>104</v>
      </c>
      <c r="H23" s="60"/>
      <c r="I23" s="53"/>
      <c r="J23" s="61">
        <v>76124890</v>
      </c>
      <c r="K23" s="59">
        <v>1</v>
      </c>
      <c r="L23" s="62">
        <v>81847</v>
      </c>
      <c r="M23" s="62">
        <v>0</v>
      </c>
      <c r="N23" s="62">
        <v>15551</v>
      </c>
      <c r="O23" s="62">
        <v>0</v>
      </c>
      <c r="P23" s="62">
        <f>SUM(L23:O23)</f>
        <v>97398</v>
      </c>
      <c r="Q23" s="121"/>
      <c r="R23" s="208"/>
      <c r="S23" s="194"/>
      <c r="T23" s="197"/>
      <c r="U23" s="166"/>
      <c r="V23" s="166"/>
    </row>
    <row r="24" spans="1:37" x14ac:dyDescent="0.2">
      <c r="A24" s="57">
        <v>2</v>
      </c>
      <c r="B24" s="58">
        <v>28</v>
      </c>
      <c r="C24" s="58">
        <v>12</v>
      </c>
      <c r="D24" s="58">
        <v>2023</v>
      </c>
      <c r="E24" s="59" t="s">
        <v>77</v>
      </c>
      <c r="F24" s="59">
        <v>60678</v>
      </c>
      <c r="G24" s="53" t="s">
        <v>109</v>
      </c>
      <c r="H24" s="60"/>
      <c r="I24" s="53"/>
      <c r="J24" s="61">
        <v>77617950</v>
      </c>
      <c r="K24" s="59">
        <v>7</v>
      </c>
      <c r="L24" s="62">
        <v>26130</v>
      </c>
      <c r="M24" s="62">
        <v>0</v>
      </c>
      <c r="N24" s="62">
        <v>4965</v>
      </c>
      <c r="O24" s="62">
        <v>0</v>
      </c>
      <c r="P24" s="62">
        <f t="shared" ref="P24" si="7">SUM(L24:O24)</f>
        <v>31095</v>
      </c>
      <c r="R24" s="204"/>
      <c r="S24" s="197"/>
      <c r="T24" s="195"/>
      <c r="U24" s="54"/>
      <c r="V24" s="8"/>
    </row>
    <row r="25" spans="1:37" x14ac:dyDescent="0.2">
      <c r="A25" s="1" t="s">
        <v>49</v>
      </c>
      <c r="B25" s="17"/>
      <c r="C25" s="17"/>
      <c r="D25" s="17"/>
      <c r="E25" s="65"/>
      <c r="F25" s="19"/>
      <c r="G25" s="20"/>
      <c r="H25" s="20"/>
      <c r="I25" s="20"/>
      <c r="J25" s="18"/>
      <c r="K25" s="18"/>
      <c r="L25" s="21">
        <f>SUM(L23:L24)</f>
        <v>107977</v>
      </c>
      <c r="M25" s="21">
        <f>SUM(M23:M24)</f>
        <v>0</v>
      </c>
      <c r="N25" s="21">
        <f>SUM(N23:N24)</f>
        <v>20516</v>
      </c>
      <c r="O25" s="21">
        <f>SUM(O23:O24)</f>
        <v>0</v>
      </c>
      <c r="P25" s="21">
        <f>SUM(P23:P24)</f>
        <v>128493</v>
      </c>
      <c r="R25" s="204"/>
      <c r="S25" s="196"/>
      <c r="T25" s="195"/>
      <c r="U25" s="172"/>
      <c r="V25" s="153"/>
      <c r="W25" s="153"/>
    </row>
    <row r="26" spans="1:37" x14ac:dyDescent="0.2">
      <c r="A26" s="66">
        <v>1</v>
      </c>
      <c r="B26" s="66"/>
      <c r="C26" s="66">
        <v>12</v>
      </c>
      <c r="D26" s="66">
        <v>2023</v>
      </c>
      <c r="E26" s="67" t="s">
        <v>78</v>
      </c>
      <c r="F26" s="68"/>
      <c r="G26" s="69"/>
      <c r="H26" s="70"/>
      <c r="I26" s="69"/>
      <c r="J26" s="71"/>
      <c r="K26" s="72"/>
      <c r="L26" s="73"/>
      <c r="M26" s="74">
        <v>0</v>
      </c>
      <c r="N26" s="74">
        <f t="shared" ref="N26:N27" si="8">ROUND((L26*19%),0)</f>
        <v>0</v>
      </c>
      <c r="O26" s="74">
        <v>0</v>
      </c>
      <c r="P26" s="74">
        <f>SUM(L26:O26)</f>
        <v>0</v>
      </c>
      <c r="R26" s="196"/>
      <c r="S26" s="196"/>
      <c r="T26" s="199"/>
      <c r="U26" s="173"/>
      <c r="V26" s="153"/>
      <c r="W26" s="153"/>
    </row>
    <row r="27" spans="1:37" x14ac:dyDescent="0.2">
      <c r="A27" s="66">
        <v>2</v>
      </c>
      <c r="B27" s="66"/>
      <c r="C27" s="66">
        <v>12</v>
      </c>
      <c r="D27" s="66">
        <v>2023</v>
      </c>
      <c r="E27" s="67" t="s">
        <v>78</v>
      </c>
      <c r="F27" s="68"/>
      <c r="G27" s="69"/>
      <c r="H27" s="70"/>
      <c r="I27" s="69"/>
      <c r="J27" s="71"/>
      <c r="K27" s="72"/>
      <c r="L27" s="74"/>
      <c r="M27" s="74">
        <v>0</v>
      </c>
      <c r="N27" s="74">
        <f t="shared" si="8"/>
        <v>0</v>
      </c>
      <c r="O27" s="74">
        <v>0</v>
      </c>
      <c r="P27" s="74">
        <f>SUM(L27:O27)</f>
        <v>0</v>
      </c>
      <c r="R27" s="196"/>
      <c r="S27" s="195"/>
      <c r="T27" s="199"/>
      <c r="U27" s="173"/>
      <c r="V27" s="153"/>
      <c r="W27" s="153"/>
    </row>
    <row r="28" spans="1:37" x14ac:dyDescent="0.2">
      <c r="A28" s="26" t="s">
        <v>48</v>
      </c>
      <c r="B28" s="27"/>
      <c r="C28" s="27"/>
      <c r="D28" s="27"/>
      <c r="E28" s="75"/>
      <c r="F28" s="29"/>
      <c r="G28" s="30"/>
      <c r="H28" s="30"/>
      <c r="I28" s="30"/>
      <c r="J28" s="28"/>
      <c r="K28" s="28"/>
      <c r="L28" s="31">
        <f>SUM(L26:L27)</f>
        <v>0</v>
      </c>
      <c r="M28" s="31">
        <f>SUM(M26:M27)</f>
        <v>0</v>
      </c>
      <c r="N28" s="31">
        <f>SUM(N26:N27)</f>
        <v>0</v>
      </c>
      <c r="O28" s="31">
        <f>SUM(O26:O27)</f>
        <v>0</v>
      </c>
      <c r="P28" s="31">
        <f>SUM(P26:P27)</f>
        <v>0</v>
      </c>
      <c r="R28" s="196"/>
      <c r="S28" s="196"/>
      <c r="T28" s="199"/>
      <c r="U28" s="173"/>
      <c r="V28" s="153"/>
      <c r="W28" s="153"/>
    </row>
    <row r="29" spans="1:37" x14ac:dyDescent="0.2">
      <c r="A29" s="76" t="s">
        <v>17</v>
      </c>
      <c r="B29" s="56"/>
      <c r="C29" s="56"/>
      <c r="D29" s="56"/>
      <c r="E29" s="56"/>
      <c r="F29" s="77"/>
      <c r="G29" s="77"/>
      <c r="H29" s="77"/>
      <c r="I29" s="77"/>
      <c r="J29" s="78"/>
      <c r="K29" s="78"/>
      <c r="L29" s="79">
        <f>+L25+L28</f>
        <v>107977</v>
      </c>
      <c r="M29" s="79">
        <f>+M25-M28</f>
        <v>0</v>
      </c>
      <c r="N29" s="79">
        <f>N25+N28</f>
        <v>20516</v>
      </c>
      <c r="O29" s="79">
        <f>+O25-O28</f>
        <v>0</v>
      </c>
      <c r="P29" s="79">
        <f>+P25+P28</f>
        <v>128493</v>
      </c>
      <c r="R29" s="196"/>
      <c r="S29" s="196"/>
      <c r="T29" s="199"/>
      <c r="U29" s="173"/>
      <c r="V29" s="153"/>
      <c r="W29" s="153"/>
    </row>
    <row r="30" spans="1:37" x14ac:dyDescent="0.2">
      <c r="R30" s="196"/>
      <c r="S30" s="196"/>
      <c r="T30" s="195"/>
      <c r="U30" s="173"/>
      <c r="V30" s="153"/>
      <c r="W30" s="154"/>
    </row>
    <row r="31" spans="1:37" x14ac:dyDescent="0.2">
      <c r="A31" s="125" t="s">
        <v>7</v>
      </c>
      <c r="B31" s="126"/>
      <c r="C31" s="126"/>
      <c r="D31" s="126"/>
      <c r="E31" s="126"/>
      <c r="F31" s="127"/>
      <c r="J31" s="8"/>
      <c r="K31" s="8"/>
      <c r="L31" s="3"/>
      <c r="M31" s="3"/>
      <c r="N31" s="3"/>
      <c r="O31" s="3"/>
      <c r="P31" s="3"/>
      <c r="Q31" s="3"/>
      <c r="R31" s="196"/>
      <c r="S31" s="195"/>
      <c r="T31" s="199"/>
      <c r="U31" s="4"/>
      <c r="V31" s="156"/>
      <c r="W31" s="155"/>
    </row>
    <row r="32" spans="1:37" x14ac:dyDescent="0.2">
      <c r="A32" s="128" t="s">
        <v>41</v>
      </c>
      <c r="B32" s="129" t="s">
        <v>70</v>
      </c>
      <c r="C32" s="129" t="s">
        <v>38</v>
      </c>
      <c r="D32" s="129" t="s">
        <v>39</v>
      </c>
      <c r="E32" s="192" t="s">
        <v>43</v>
      </c>
      <c r="F32" s="192"/>
      <c r="G32" s="128"/>
      <c r="H32" s="128" t="s">
        <v>8</v>
      </c>
      <c r="I32" s="128"/>
      <c r="J32" s="128" t="s">
        <v>5</v>
      </c>
      <c r="K32" s="128"/>
      <c r="L32" s="128" t="s">
        <v>9</v>
      </c>
      <c r="M32" s="128" t="s">
        <v>97</v>
      </c>
      <c r="N32" s="128" t="s">
        <v>10</v>
      </c>
      <c r="R32" s="209"/>
      <c r="S32" s="195"/>
      <c r="T32" s="210"/>
      <c r="U32" s="4"/>
      <c r="V32" s="156"/>
      <c r="W32" s="156"/>
    </row>
    <row r="33" spans="1:28" x14ac:dyDescent="0.2">
      <c r="A33" s="130">
        <v>1</v>
      </c>
      <c r="B33" s="131"/>
      <c r="C33" s="131">
        <v>12</v>
      </c>
      <c r="D33" s="131">
        <v>2023</v>
      </c>
      <c r="E33" s="132" t="s">
        <v>80</v>
      </c>
      <c r="F33" s="133"/>
      <c r="G33" s="137"/>
      <c r="H33" s="138"/>
      <c r="I33" s="138"/>
      <c r="J33" s="139"/>
      <c r="K33" s="132"/>
      <c r="L33" s="140"/>
      <c r="M33" s="141">
        <f>+L33*0.13</f>
        <v>0</v>
      </c>
      <c r="N33" s="141">
        <f>+L33-M33</f>
        <v>0</v>
      </c>
      <c r="U33" s="4"/>
      <c r="V33" s="156"/>
      <c r="W33" s="155"/>
    </row>
    <row r="34" spans="1:28" x14ac:dyDescent="0.2">
      <c r="A34" s="130">
        <v>2</v>
      </c>
      <c r="B34" s="131"/>
      <c r="C34" s="131">
        <v>12</v>
      </c>
      <c r="D34" s="131">
        <v>2023</v>
      </c>
      <c r="E34" s="132" t="s">
        <v>80</v>
      </c>
      <c r="F34" s="133"/>
      <c r="G34" s="137"/>
      <c r="H34" s="138"/>
      <c r="I34" s="138"/>
      <c r="J34" s="139"/>
      <c r="K34" s="132"/>
      <c r="L34" s="140"/>
      <c r="M34" s="141">
        <f>+L34*0.13</f>
        <v>0</v>
      </c>
      <c r="N34" s="141">
        <f t="shared" ref="N34" si="9">+L34-M34</f>
        <v>0</v>
      </c>
      <c r="R34" s="121"/>
      <c r="S34" s="4"/>
      <c r="U34" s="173"/>
      <c r="V34" s="153"/>
      <c r="W34" s="154"/>
    </row>
    <row r="35" spans="1:28" x14ac:dyDescent="0.2">
      <c r="A35" s="134" t="s">
        <v>18</v>
      </c>
      <c r="B35" s="135"/>
      <c r="C35" s="135"/>
      <c r="D35" s="135"/>
      <c r="E35" s="129"/>
      <c r="F35" s="136"/>
      <c r="G35" s="136"/>
      <c r="H35" s="136"/>
      <c r="I35" s="136"/>
      <c r="J35" s="142"/>
      <c r="K35" s="142"/>
      <c r="L35" s="143">
        <f>SUM(L33:L34)</f>
        <v>0</v>
      </c>
      <c r="M35" s="143">
        <f>SUM(M33:M34)</f>
        <v>0</v>
      </c>
      <c r="N35" s="143">
        <f>SUM(N33:N34)</f>
        <v>0</v>
      </c>
      <c r="R35" s="2"/>
      <c r="U35" s="4"/>
      <c r="V35" s="156"/>
      <c r="W35" s="155"/>
    </row>
    <row r="37" spans="1:28" x14ac:dyDescent="0.2">
      <c r="A37" s="193" t="s">
        <v>124</v>
      </c>
      <c r="B37" s="193"/>
      <c r="C37" s="193"/>
      <c r="D37" s="193"/>
      <c r="E37" s="193"/>
      <c r="F37" s="193"/>
      <c r="G37" s="183" t="s">
        <v>55</v>
      </c>
      <c r="H37" s="183"/>
      <c r="I37" s="183"/>
      <c r="J37" s="183"/>
      <c r="K37" s="183"/>
      <c r="L37" s="184" t="s">
        <v>83</v>
      </c>
      <c r="M37" s="184"/>
      <c r="N37" s="184"/>
      <c r="O37" s="184"/>
      <c r="P37" s="184"/>
      <c r="Q37" s="185" t="s">
        <v>75</v>
      </c>
      <c r="R37" s="185"/>
      <c r="S37" s="186" t="s">
        <v>73</v>
      </c>
      <c r="T37" s="186"/>
      <c r="U37" s="186"/>
      <c r="V37" s="187" t="s">
        <v>12</v>
      </c>
      <c r="W37" s="187"/>
      <c r="X37" s="188" t="s">
        <v>69</v>
      </c>
      <c r="Y37" s="188"/>
      <c r="Z37" s="188"/>
      <c r="AA37" s="188"/>
      <c r="AB37" s="188"/>
    </row>
    <row r="38" spans="1:28" x14ac:dyDescent="0.2">
      <c r="A38" s="83" t="s">
        <v>11</v>
      </c>
      <c r="B38" s="84" t="s">
        <v>47</v>
      </c>
      <c r="C38" s="80"/>
      <c r="D38" s="80"/>
      <c r="E38" s="80"/>
      <c r="F38" s="81">
        <f>+L19</f>
        <v>837225</v>
      </c>
      <c r="G38" s="82" t="s">
        <v>53</v>
      </c>
      <c r="H38" s="85" t="s">
        <v>52</v>
      </c>
      <c r="I38" s="85" t="s">
        <v>1</v>
      </c>
      <c r="J38" s="85" t="s">
        <v>2</v>
      </c>
      <c r="K38" s="86"/>
      <c r="L38" s="88" t="s">
        <v>52</v>
      </c>
      <c r="M38" s="89" t="s">
        <v>35</v>
      </c>
      <c r="N38" s="88" t="s">
        <v>1</v>
      </c>
      <c r="O38" s="89" t="s">
        <v>67</v>
      </c>
      <c r="P38" s="89" t="s">
        <v>2</v>
      </c>
      <c r="Q38" s="157" t="s">
        <v>76</v>
      </c>
      <c r="R38" s="157" t="s">
        <v>60</v>
      </c>
      <c r="S38" s="90" t="s">
        <v>9</v>
      </c>
      <c r="T38" s="91" t="s">
        <v>74</v>
      </c>
      <c r="U38" s="92" t="s">
        <v>10</v>
      </c>
      <c r="V38" s="87" t="s">
        <v>56</v>
      </c>
      <c r="W38" s="87" t="s">
        <v>57</v>
      </c>
      <c r="X38" s="122" t="s">
        <v>58</v>
      </c>
      <c r="Y38" s="122" t="s">
        <v>68</v>
      </c>
      <c r="Z38" s="122" t="s">
        <v>62</v>
      </c>
      <c r="AA38" s="122" t="s">
        <v>72</v>
      </c>
      <c r="AB38" s="122" t="s">
        <v>59</v>
      </c>
    </row>
    <row r="39" spans="1:28" x14ac:dyDescent="0.2">
      <c r="A39" s="83" t="s">
        <v>11</v>
      </c>
      <c r="B39" s="84" t="s">
        <v>13</v>
      </c>
      <c r="C39" s="84"/>
      <c r="D39" s="84"/>
      <c r="E39" s="84"/>
      <c r="F39" s="81">
        <f>+M12</f>
        <v>280446</v>
      </c>
      <c r="G39" s="86" t="s">
        <v>22</v>
      </c>
      <c r="H39" s="93">
        <v>362422</v>
      </c>
      <c r="I39" s="93">
        <f t="shared" ref="I39:I50" si="10">ROUND((H39*0.19),0)</f>
        <v>68860</v>
      </c>
      <c r="J39" s="93">
        <f>SUM(H39:I39)</f>
        <v>431282</v>
      </c>
      <c r="K39" s="86"/>
      <c r="L39" s="96">
        <v>206080</v>
      </c>
      <c r="M39" s="96">
        <v>0</v>
      </c>
      <c r="N39" s="96">
        <v>39155</v>
      </c>
      <c r="O39" s="97">
        <v>0</v>
      </c>
      <c r="P39" s="97">
        <f>SUM(L39:O39)</f>
        <v>245235</v>
      </c>
      <c r="Q39" s="158">
        <v>0</v>
      </c>
      <c r="R39" s="158">
        <v>0</v>
      </c>
      <c r="S39" s="98">
        <v>0</v>
      </c>
      <c r="T39" s="98">
        <f>+S39*0.13</f>
        <v>0</v>
      </c>
      <c r="U39" s="98">
        <f t="shared" ref="U39:U50" si="11">+S39-T39</f>
        <v>0</v>
      </c>
      <c r="V39" s="94">
        <v>0.1</v>
      </c>
      <c r="W39" s="95">
        <f t="shared" ref="W39:W50" si="12">ROUND((H39*V39),2)</f>
        <v>36242.199999999997</v>
      </c>
      <c r="X39" s="123">
        <v>0</v>
      </c>
      <c r="Y39" s="123">
        <v>0</v>
      </c>
      <c r="Z39" s="123">
        <v>48000</v>
      </c>
      <c r="AA39" s="123">
        <v>0</v>
      </c>
      <c r="AB39" s="123">
        <v>30084</v>
      </c>
    </row>
    <row r="40" spans="1:28" x14ac:dyDescent="0.2">
      <c r="A40" s="83" t="s">
        <v>11</v>
      </c>
      <c r="B40" s="99" t="s">
        <v>45</v>
      </c>
      <c r="C40" s="84"/>
      <c r="D40" s="84"/>
      <c r="E40" s="84"/>
      <c r="F40" s="100">
        <f>+M15</f>
        <v>-121373</v>
      </c>
      <c r="G40" s="86" t="s">
        <v>23</v>
      </c>
      <c r="H40" s="93">
        <v>727324</v>
      </c>
      <c r="I40" s="93">
        <v>138191</v>
      </c>
      <c r="J40" s="93">
        <f t="shared" ref="J40:J50" si="13">SUM(H40:I40)</f>
        <v>865515</v>
      </c>
      <c r="K40" s="86"/>
      <c r="L40" s="96">
        <v>24120</v>
      </c>
      <c r="M40" s="96">
        <v>0</v>
      </c>
      <c r="N40" s="96">
        <v>4583</v>
      </c>
      <c r="O40" s="97">
        <v>0</v>
      </c>
      <c r="P40" s="97">
        <f t="shared" ref="P40:P50" si="14">SUM(L40:O40)</f>
        <v>28703</v>
      </c>
      <c r="Q40" s="158">
        <v>0</v>
      </c>
      <c r="R40" s="158">
        <v>0</v>
      </c>
      <c r="S40" s="98">
        <v>0</v>
      </c>
      <c r="T40" s="98">
        <f t="shared" ref="T40:T50" si="15">+S40*0.13</f>
        <v>0</v>
      </c>
      <c r="U40" s="98">
        <f t="shared" si="11"/>
        <v>0</v>
      </c>
      <c r="V40" s="94">
        <v>0.1</v>
      </c>
      <c r="W40" s="95">
        <f t="shared" si="12"/>
        <v>72732.399999999994</v>
      </c>
      <c r="X40" s="123">
        <v>0</v>
      </c>
      <c r="Y40" s="123">
        <v>0</v>
      </c>
      <c r="Z40" s="123">
        <v>48000</v>
      </c>
      <c r="AA40" s="123">
        <v>0</v>
      </c>
      <c r="AB40" s="123">
        <v>0</v>
      </c>
    </row>
    <row r="41" spans="1:28" s="4" customFormat="1" x14ac:dyDescent="0.2">
      <c r="A41" s="83" t="s">
        <v>11</v>
      </c>
      <c r="B41" s="101" t="s">
        <v>64</v>
      </c>
      <c r="C41" s="101"/>
      <c r="D41" s="84"/>
      <c r="E41" s="84"/>
      <c r="F41" s="102">
        <v>0</v>
      </c>
      <c r="G41" s="86" t="s">
        <v>24</v>
      </c>
      <c r="H41" s="93">
        <v>3119121</v>
      </c>
      <c r="I41" s="93">
        <f t="shared" si="10"/>
        <v>592633</v>
      </c>
      <c r="J41" s="93">
        <f t="shared" si="13"/>
        <v>3711754</v>
      </c>
      <c r="K41" s="86"/>
      <c r="L41" s="96">
        <v>25050</v>
      </c>
      <c r="M41" s="96">
        <v>0</v>
      </c>
      <c r="N41" s="96">
        <v>4760</v>
      </c>
      <c r="O41" s="97">
        <v>0</v>
      </c>
      <c r="P41" s="97">
        <f t="shared" si="14"/>
        <v>29810</v>
      </c>
      <c r="Q41" s="158">
        <v>0</v>
      </c>
      <c r="R41" s="158">
        <v>0</v>
      </c>
      <c r="S41" s="98">
        <v>0</v>
      </c>
      <c r="T41" s="98">
        <f t="shared" si="15"/>
        <v>0</v>
      </c>
      <c r="U41" s="98">
        <f t="shared" si="11"/>
        <v>0</v>
      </c>
      <c r="V41" s="94">
        <v>0.1</v>
      </c>
      <c r="W41" s="95">
        <f t="shared" si="12"/>
        <v>311912.09999999998</v>
      </c>
      <c r="X41" s="123">
        <v>0</v>
      </c>
      <c r="Y41" s="123">
        <v>0</v>
      </c>
      <c r="Z41" s="123">
        <v>48000</v>
      </c>
      <c r="AA41" s="123">
        <v>0</v>
      </c>
      <c r="AB41" s="123">
        <v>0</v>
      </c>
    </row>
    <row r="42" spans="1:28" s="4" customFormat="1" x14ac:dyDescent="0.2">
      <c r="A42" s="83" t="s">
        <v>11</v>
      </c>
      <c r="B42" s="84" t="s">
        <v>63</v>
      </c>
      <c r="C42" s="84"/>
      <c r="D42" s="84"/>
      <c r="E42" s="84"/>
      <c r="F42" s="103">
        <f>SUM(F39:F40)</f>
        <v>159073</v>
      </c>
      <c r="G42" s="86" t="s">
        <v>25</v>
      </c>
      <c r="H42" s="93">
        <v>548065</v>
      </c>
      <c r="I42" s="93">
        <f t="shared" si="10"/>
        <v>104132</v>
      </c>
      <c r="J42" s="93">
        <f t="shared" si="13"/>
        <v>652197</v>
      </c>
      <c r="K42" s="93"/>
      <c r="L42" s="96">
        <v>93368</v>
      </c>
      <c r="M42" s="96">
        <v>0</v>
      </c>
      <c r="N42" s="96">
        <v>18310</v>
      </c>
      <c r="O42" s="97">
        <v>0</v>
      </c>
      <c r="P42" s="97">
        <f t="shared" si="14"/>
        <v>111678</v>
      </c>
      <c r="Q42" s="158">
        <v>0</v>
      </c>
      <c r="R42" s="158">
        <v>0</v>
      </c>
      <c r="S42" s="98">
        <v>0</v>
      </c>
      <c r="T42" s="98">
        <f t="shared" si="15"/>
        <v>0</v>
      </c>
      <c r="U42" s="98">
        <f t="shared" si="11"/>
        <v>0</v>
      </c>
      <c r="V42" s="94">
        <v>0.1</v>
      </c>
      <c r="W42" s="95">
        <f t="shared" si="12"/>
        <v>54806.5</v>
      </c>
      <c r="X42" s="123">
        <v>0</v>
      </c>
      <c r="Y42" s="123">
        <v>0</v>
      </c>
      <c r="Z42" s="123">
        <v>48000</v>
      </c>
      <c r="AA42" s="123">
        <v>0</v>
      </c>
      <c r="AB42" s="123">
        <v>0</v>
      </c>
    </row>
    <row r="43" spans="1:28" s="4" customFormat="1" x14ac:dyDescent="0.2">
      <c r="A43" s="83" t="s">
        <v>11</v>
      </c>
      <c r="B43" s="99" t="s">
        <v>14</v>
      </c>
      <c r="C43" s="84"/>
      <c r="D43" s="84"/>
      <c r="E43" s="84"/>
      <c r="F43" s="100">
        <f>-N25</f>
        <v>-20516</v>
      </c>
      <c r="G43" s="86" t="s">
        <v>26</v>
      </c>
      <c r="H43" s="93">
        <v>238087</v>
      </c>
      <c r="I43" s="93">
        <f t="shared" si="10"/>
        <v>45237</v>
      </c>
      <c r="J43" s="93">
        <f t="shared" si="13"/>
        <v>283324</v>
      </c>
      <c r="K43" s="93"/>
      <c r="L43" s="96">
        <v>111383</v>
      </c>
      <c r="M43" s="96">
        <v>0</v>
      </c>
      <c r="N43" s="96">
        <v>21163</v>
      </c>
      <c r="O43" s="97">
        <v>0</v>
      </c>
      <c r="P43" s="97">
        <f t="shared" si="14"/>
        <v>132546</v>
      </c>
      <c r="Q43" s="158">
        <v>0</v>
      </c>
      <c r="R43" s="158">
        <v>0</v>
      </c>
      <c r="S43" s="98">
        <v>0</v>
      </c>
      <c r="T43" s="98">
        <f t="shared" si="15"/>
        <v>0</v>
      </c>
      <c r="U43" s="98">
        <f t="shared" si="11"/>
        <v>0</v>
      </c>
      <c r="V43" s="94">
        <v>0.1</v>
      </c>
      <c r="W43" s="95">
        <f t="shared" si="12"/>
        <v>23808.7</v>
      </c>
      <c r="X43" s="123">
        <v>0</v>
      </c>
      <c r="Y43" s="123">
        <v>0</v>
      </c>
      <c r="Z43" s="123">
        <v>48000</v>
      </c>
      <c r="AA43" s="123">
        <v>0</v>
      </c>
      <c r="AB43" s="123">
        <v>0</v>
      </c>
    </row>
    <row r="44" spans="1:28" s="4" customFormat="1" x14ac:dyDescent="0.2">
      <c r="A44" s="83" t="s">
        <v>11</v>
      </c>
      <c r="B44" s="84" t="s">
        <v>46</v>
      </c>
      <c r="C44" s="84"/>
      <c r="D44" s="84"/>
      <c r="E44" s="84"/>
      <c r="F44" s="81">
        <f>-N28</f>
        <v>0</v>
      </c>
      <c r="G44" s="86" t="s">
        <v>27</v>
      </c>
      <c r="H44" s="93">
        <v>338803</v>
      </c>
      <c r="I44" s="93">
        <f t="shared" si="10"/>
        <v>64373</v>
      </c>
      <c r="J44" s="93">
        <f t="shared" si="13"/>
        <v>403176</v>
      </c>
      <c r="K44" s="93"/>
      <c r="L44" s="96">
        <v>111033</v>
      </c>
      <c r="M44" s="96">
        <v>0</v>
      </c>
      <c r="N44" s="96">
        <v>21095</v>
      </c>
      <c r="O44" s="97">
        <v>0</v>
      </c>
      <c r="P44" s="97">
        <f t="shared" si="14"/>
        <v>132128</v>
      </c>
      <c r="Q44" s="158">
        <v>0</v>
      </c>
      <c r="R44" s="158">
        <v>0</v>
      </c>
      <c r="S44" s="98">
        <v>0</v>
      </c>
      <c r="T44" s="98">
        <f t="shared" si="15"/>
        <v>0</v>
      </c>
      <c r="U44" s="98">
        <f t="shared" si="11"/>
        <v>0</v>
      </c>
      <c r="V44" s="94">
        <v>0.15</v>
      </c>
      <c r="W44" s="95">
        <f t="shared" si="12"/>
        <v>50820.45</v>
      </c>
      <c r="X44" s="123">
        <v>0</v>
      </c>
      <c r="Y44" s="123">
        <v>0</v>
      </c>
      <c r="Z44" s="123">
        <v>48000</v>
      </c>
      <c r="AA44" s="123">
        <v>0</v>
      </c>
      <c r="AB44" s="123">
        <v>0</v>
      </c>
    </row>
    <row r="45" spans="1:28" s="4" customFormat="1" x14ac:dyDescent="0.2">
      <c r="A45" s="83" t="s">
        <v>11</v>
      </c>
      <c r="B45" s="84" t="s">
        <v>15</v>
      </c>
      <c r="C45" s="84"/>
      <c r="D45" s="84"/>
      <c r="E45" s="84"/>
      <c r="F45" s="81">
        <f>SUM(F42:F44)</f>
        <v>138557</v>
      </c>
      <c r="G45" s="86" t="s">
        <v>28</v>
      </c>
      <c r="H45" s="93">
        <v>3555847</v>
      </c>
      <c r="I45" s="93">
        <f t="shared" si="10"/>
        <v>675611</v>
      </c>
      <c r="J45" s="93">
        <f t="shared" si="13"/>
        <v>4231458</v>
      </c>
      <c r="K45" s="93"/>
      <c r="L45" s="96">
        <v>1032354</v>
      </c>
      <c r="M45" s="96">
        <v>0</v>
      </c>
      <c r="N45" s="96">
        <v>196148</v>
      </c>
      <c r="O45" s="97">
        <v>0</v>
      </c>
      <c r="P45" s="97">
        <f t="shared" si="14"/>
        <v>1228502</v>
      </c>
      <c r="Q45" s="158">
        <v>0</v>
      </c>
      <c r="R45" s="158">
        <v>0</v>
      </c>
      <c r="S45" s="98">
        <v>0</v>
      </c>
      <c r="T45" s="98">
        <f t="shared" si="15"/>
        <v>0</v>
      </c>
      <c r="U45" s="98">
        <f t="shared" si="11"/>
        <v>0</v>
      </c>
      <c r="V45" s="94">
        <v>5.0000000000000001E-3</v>
      </c>
      <c r="W45" s="95">
        <f t="shared" si="12"/>
        <v>17779.240000000002</v>
      </c>
      <c r="X45" s="123">
        <v>0</v>
      </c>
      <c r="Y45" s="123">
        <v>0</v>
      </c>
      <c r="Z45" s="123">
        <v>48000</v>
      </c>
      <c r="AA45" s="123">
        <v>0</v>
      </c>
      <c r="AB45" s="123">
        <v>31537</v>
      </c>
    </row>
    <row r="46" spans="1:28" s="4" customFormat="1" x14ac:dyDescent="0.2">
      <c r="A46" s="83" t="s">
        <v>11</v>
      </c>
      <c r="B46" s="84" t="s">
        <v>34</v>
      </c>
      <c r="C46" s="84"/>
      <c r="D46" s="84"/>
      <c r="E46" s="84"/>
      <c r="F46" s="81">
        <f>+M35</f>
        <v>0</v>
      </c>
      <c r="G46" s="86" t="s">
        <v>29</v>
      </c>
      <c r="H46" s="93">
        <v>481797</v>
      </c>
      <c r="I46" s="93">
        <v>91542</v>
      </c>
      <c r="J46" s="93">
        <f t="shared" si="13"/>
        <v>573339</v>
      </c>
      <c r="K46" s="93"/>
      <c r="L46" s="96">
        <v>276608</v>
      </c>
      <c r="M46" s="96">
        <v>0</v>
      </c>
      <c r="N46" s="96">
        <v>52555</v>
      </c>
      <c r="O46" s="97">
        <v>0</v>
      </c>
      <c r="P46" s="97">
        <f t="shared" si="14"/>
        <v>329163</v>
      </c>
      <c r="Q46" s="158">
        <v>0</v>
      </c>
      <c r="R46" s="158">
        <v>0</v>
      </c>
      <c r="S46" s="98">
        <v>0</v>
      </c>
      <c r="T46" s="98">
        <f t="shared" si="15"/>
        <v>0</v>
      </c>
      <c r="U46" s="98">
        <f t="shared" si="11"/>
        <v>0</v>
      </c>
      <c r="V46" s="94">
        <v>0.1</v>
      </c>
      <c r="W46" s="95">
        <f t="shared" si="12"/>
        <v>48179.7</v>
      </c>
      <c r="X46" s="123">
        <v>0</v>
      </c>
      <c r="Y46" s="123">
        <v>0</v>
      </c>
      <c r="Z46" s="123">
        <v>48000</v>
      </c>
      <c r="AA46" s="123">
        <v>0</v>
      </c>
      <c r="AB46" s="123">
        <v>0</v>
      </c>
    </row>
    <row r="47" spans="1:28" s="4" customFormat="1" x14ac:dyDescent="0.2">
      <c r="A47" s="83" t="s">
        <v>11</v>
      </c>
      <c r="B47" s="84" t="s">
        <v>12</v>
      </c>
      <c r="C47" s="84"/>
      <c r="D47" s="104">
        <v>0.02</v>
      </c>
      <c r="E47" s="84"/>
      <c r="F47" s="81">
        <f>ROUND((L19*D47),0)</f>
        <v>16745</v>
      </c>
      <c r="G47" s="86" t="s">
        <v>30</v>
      </c>
      <c r="H47" s="93">
        <v>656887</v>
      </c>
      <c r="I47" s="93">
        <f t="shared" si="10"/>
        <v>124809</v>
      </c>
      <c r="J47" s="93">
        <f t="shared" si="13"/>
        <v>781696</v>
      </c>
      <c r="K47" s="93"/>
      <c r="L47" s="96">
        <v>107268</v>
      </c>
      <c r="M47" s="96">
        <v>0</v>
      </c>
      <c r="N47" s="96">
        <v>20381</v>
      </c>
      <c r="O47" s="97">
        <v>0</v>
      </c>
      <c r="P47" s="97">
        <f t="shared" si="14"/>
        <v>127649</v>
      </c>
      <c r="Q47" s="158">
        <v>0</v>
      </c>
      <c r="R47" s="158">
        <v>0</v>
      </c>
      <c r="S47" s="98">
        <v>0</v>
      </c>
      <c r="T47" s="98">
        <f t="shared" si="15"/>
        <v>0</v>
      </c>
      <c r="U47" s="98">
        <f t="shared" si="11"/>
        <v>0</v>
      </c>
      <c r="V47" s="94">
        <v>0.1</v>
      </c>
      <c r="W47" s="95">
        <f t="shared" si="12"/>
        <v>65688.7</v>
      </c>
      <c r="X47" s="123">
        <v>0</v>
      </c>
      <c r="Y47" s="123">
        <v>0</v>
      </c>
      <c r="Z47" s="123">
        <v>48000</v>
      </c>
      <c r="AA47" s="123">
        <v>0</v>
      </c>
      <c r="AB47" s="123">
        <v>0</v>
      </c>
    </row>
    <row r="48" spans="1:28" s="4" customFormat="1" x14ac:dyDescent="0.2">
      <c r="A48" s="83" t="s">
        <v>11</v>
      </c>
      <c r="B48" s="105" t="s">
        <v>66</v>
      </c>
      <c r="C48" s="106"/>
      <c r="D48" s="106"/>
      <c r="E48" s="84"/>
      <c r="F48" s="107">
        <v>0</v>
      </c>
      <c r="G48" s="86" t="s">
        <v>31</v>
      </c>
      <c r="H48" s="93">
        <v>365298</v>
      </c>
      <c r="I48" s="93">
        <f t="shared" si="10"/>
        <v>69407</v>
      </c>
      <c r="J48" s="93">
        <f t="shared" si="13"/>
        <v>434705</v>
      </c>
      <c r="K48" s="93"/>
      <c r="L48" s="96">
        <v>109867</v>
      </c>
      <c r="M48" s="96">
        <v>0</v>
      </c>
      <c r="N48" s="96">
        <v>20875</v>
      </c>
      <c r="O48" s="97">
        <v>0</v>
      </c>
      <c r="P48" s="97">
        <f t="shared" si="14"/>
        <v>130742</v>
      </c>
      <c r="Q48" s="158">
        <v>0</v>
      </c>
      <c r="R48" s="158">
        <v>0</v>
      </c>
      <c r="S48" s="98">
        <v>0</v>
      </c>
      <c r="T48" s="98">
        <f t="shared" si="15"/>
        <v>0</v>
      </c>
      <c r="U48" s="98">
        <f t="shared" si="11"/>
        <v>0</v>
      </c>
      <c r="V48" s="94">
        <v>0.02</v>
      </c>
      <c r="W48" s="95">
        <f t="shared" si="12"/>
        <v>7305.96</v>
      </c>
      <c r="X48" s="123">
        <v>0</v>
      </c>
      <c r="Y48" s="123">
        <v>0</v>
      </c>
      <c r="Z48" s="123">
        <v>48000</v>
      </c>
      <c r="AA48" s="123">
        <v>0</v>
      </c>
      <c r="AB48" s="123">
        <v>0</v>
      </c>
    </row>
    <row r="49" spans="1:35" s="4" customFormat="1" x14ac:dyDescent="0.2">
      <c r="A49" s="83" t="s">
        <v>11</v>
      </c>
      <c r="B49" s="106" t="s">
        <v>19</v>
      </c>
      <c r="C49" s="106"/>
      <c r="D49" s="106"/>
      <c r="E49" s="84"/>
      <c r="F49" s="108">
        <f>SUM(F45:F47)</f>
        <v>155302</v>
      </c>
      <c r="G49" s="86" t="s">
        <v>32</v>
      </c>
      <c r="H49" s="93">
        <v>179123</v>
      </c>
      <c r="I49" s="93">
        <v>34034</v>
      </c>
      <c r="J49" s="93">
        <f t="shared" si="13"/>
        <v>213157</v>
      </c>
      <c r="K49" s="93"/>
      <c r="L49" s="96">
        <v>108328</v>
      </c>
      <c r="M49" s="96">
        <v>0</v>
      </c>
      <c r="N49" s="96">
        <v>20582</v>
      </c>
      <c r="O49" s="97">
        <v>0</v>
      </c>
      <c r="P49" s="97">
        <f t="shared" si="14"/>
        <v>128910</v>
      </c>
      <c r="Q49" s="158">
        <v>0</v>
      </c>
      <c r="R49" s="158">
        <v>0</v>
      </c>
      <c r="S49" s="98">
        <v>0</v>
      </c>
      <c r="T49" s="98">
        <f t="shared" si="15"/>
        <v>0</v>
      </c>
      <c r="U49" s="98">
        <f t="shared" si="11"/>
        <v>0</v>
      </c>
      <c r="V49" s="94">
        <v>0.02</v>
      </c>
      <c r="W49" s="95">
        <f t="shared" si="12"/>
        <v>3582.46</v>
      </c>
      <c r="X49" s="123">
        <v>0</v>
      </c>
      <c r="Y49" s="123">
        <v>0</v>
      </c>
      <c r="Z49" s="123">
        <v>48000</v>
      </c>
      <c r="AA49" s="123">
        <v>0</v>
      </c>
      <c r="AB49" s="123">
        <v>0</v>
      </c>
    </row>
    <row r="50" spans="1:35" s="4" customFormat="1" x14ac:dyDescent="0.2">
      <c r="A50" s="109" t="s">
        <v>20</v>
      </c>
      <c r="B50" s="110"/>
      <c r="C50" s="110"/>
      <c r="D50" s="110"/>
      <c r="E50" s="110"/>
      <c r="F50" s="111">
        <f>+F45+F47</f>
        <v>155302</v>
      </c>
      <c r="G50" s="86" t="s">
        <v>33</v>
      </c>
      <c r="H50" s="93">
        <v>837225</v>
      </c>
      <c r="I50" s="93">
        <f t="shared" si="10"/>
        <v>159073</v>
      </c>
      <c r="J50" s="93">
        <f t="shared" si="13"/>
        <v>996298</v>
      </c>
      <c r="K50" s="93"/>
      <c r="L50" s="96">
        <v>107977</v>
      </c>
      <c r="M50" s="96">
        <v>0</v>
      </c>
      <c r="N50" s="96">
        <v>20516</v>
      </c>
      <c r="O50" s="97">
        <v>0</v>
      </c>
      <c r="P50" s="97">
        <f t="shared" si="14"/>
        <v>128493</v>
      </c>
      <c r="Q50" s="158">
        <v>0</v>
      </c>
      <c r="R50" s="158">
        <v>0</v>
      </c>
      <c r="S50" s="98">
        <v>0</v>
      </c>
      <c r="T50" s="98">
        <f t="shared" si="15"/>
        <v>0</v>
      </c>
      <c r="U50" s="98">
        <f t="shared" si="11"/>
        <v>0</v>
      </c>
      <c r="V50" s="94">
        <v>0.02</v>
      </c>
      <c r="W50" s="95">
        <f t="shared" si="12"/>
        <v>16744.5</v>
      </c>
      <c r="X50" s="123">
        <v>0</v>
      </c>
      <c r="Y50" s="123">
        <v>0</v>
      </c>
      <c r="Z50" s="123">
        <v>48000</v>
      </c>
      <c r="AA50" s="123">
        <v>0</v>
      </c>
      <c r="AB50" s="123">
        <v>0</v>
      </c>
    </row>
    <row r="51" spans="1:35" s="4" customFormat="1" x14ac:dyDescent="0.2">
      <c r="A51" s="109" t="s">
        <v>21</v>
      </c>
      <c r="B51" s="110"/>
      <c r="C51" s="110"/>
      <c r="D51" s="110"/>
      <c r="E51" s="110"/>
      <c r="F51" s="112">
        <f>+F50/L19</f>
        <v>0.18549613305861626</v>
      </c>
      <c r="G51" s="113" t="s">
        <v>36</v>
      </c>
      <c r="H51" s="114">
        <f>SUM(H39:H50)</f>
        <v>11409999</v>
      </c>
      <c r="I51" s="114">
        <f>SUM(I39:I50)</f>
        <v>2167902</v>
      </c>
      <c r="J51" s="114">
        <f>SUM(J39:J50)</f>
        <v>13577901</v>
      </c>
      <c r="K51" s="93"/>
      <c r="L51" s="116">
        <f>SUM(L39:L50)</f>
        <v>2313436</v>
      </c>
      <c r="M51" s="116">
        <f t="shared" ref="M51:P51" si="16">SUM(M39:M50)</f>
        <v>0</v>
      </c>
      <c r="N51" s="116">
        <f t="shared" si="16"/>
        <v>440123</v>
      </c>
      <c r="O51" s="116">
        <f t="shared" si="16"/>
        <v>0</v>
      </c>
      <c r="P51" s="116">
        <f t="shared" si="16"/>
        <v>2753559</v>
      </c>
      <c r="Q51" s="159">
        <f>SUM(Q39:Q50)</f>
        <v>0</v>
      </c>
      <c r="R51" s="159">
        <f>SUM(R39:R50)</f>
        <v>0</v>
      </c>
      <c r="S51" s="117">
        <f>SUM(S39:S50)</f>
        <v>0</v>
      </c>
      <c r="T51" s="117">
        <f t="shared" ref="T51:U51" si="17">SUM(T39:T50)</f>
        <v>0</v>
      </c>
      <c r="U51" s="117">
        <f t="shared" si="17"/>
        <v>0</v>
      </c>
      <c r="V51" s="144">
        <f>SUM(V39:V50)</f>
        <v>0.91500000000000004</v>
      </c>
      <c r="W51" s="115">
        <f>SUM(W39:W50)</f>
        <v>709602.9099999998</v>
      </c>
      <c r="X51" s="124">
        <f>SUM(X39:X50)</f>
        <v>0</v>
      </c>
      <c r="Y51" s="124">
        <f t="shared" ref="Y51:AB51" si="18">SUM(Y39:Y50)</f>
        <v>0</v>
      </c>
      <c r="Z51" s="124">
        <f t="shared" si="18"/>
        <v>576000</v>
      </c>
      <c r="AA51" s="124">
        <f>SUM(AA39:AA50)</f>
        <v>0</v>
      </c>
      <c r="AB51" s="124">
        <f t="shared" si="18"/>
        <v>61621</v>
      </c>
    </row>
    <row r="52" spans="1:35" s="4" customFormat="1" x14ac:dyDescent="0.2">
      <c r="A52" s="118" t="s">
        <v>125</v>
      </c>
      <c r="B52" s="119"/>
      <c r="C52" s="119"/>
      <c r="D52" s="119"/>
      <c r="E52" s="119"/>
      <c r="F52" s="120">
        <f>+F45/L19</f>
        <v>0.16549553584759175</v>
      </c>
      <c r="G52" s="145" t="s">
        <v>54</v>
      </c>
      <c r="H52" s="146">
        <f>+H51/12</f>
        <v>950833.25</v>
      </c>
      <c r="I52" s="146">
        <f>+I51/12</f>
        <v>180658.5</v>
      </c>
      <c r="J52" s="146">
        <f>+J51/12</f>
        <v>1131491.75</v>
      </c>
      <c r="K52" s="145"/>
      <c r="L52" s="149">
        <f t="shared" ref="L52:AB52" si="19">+L51/12</f>
        <v>192786.33333333334</v>
      </c>
      <c r="M52" s="149">
        <f t="shared" si="19"/>
        <v>0</v>
      </c>
      <c r="N52" s="149">
        <f t="shared" si="19"/>
        <v>36676.916666666664</v>
      </c>
      <c r="O52" s="149">
        <f t="shared" si="19"/>
        <v>0</v>
      </c>
      <c r="P52" s="149">
        <f t="shared" si="19"/>
        <v>229463.25</v>
      </c>
      <c r="Q52" s="160">
        <f t="shared" si="19"/>
        <v>0</v>
      </c>
      <c r="R52" s="160">
        <f t="shared" si="19"/>
        <v>0</v>
      </c>
      <c r="S52" s="150">
        <f t="shared" si="19"/>
        <v>0</v>
      </c>
      <c r="T52" s="150">
        <f t="shared" si="19"/>
        <v>0</v>
      </c>
      <c r="U52" s="150">
        <f t="shared" si="19"/>
        <v>0</v>
      </c>
      <c r="V52" s="147">
        <f t="shared" si="19"/>
        <v>7.6249999999999998E-2</v>
      </c>
      <c r="W52" s="148">
        <f t="shared" si="19"/>
        <v>59133.575833333314</v>
      </c>
      <c r="X52" s="151">
        <f t="shared" si="19"/>
        <v>0</v>
      </c>
      <c r="Y52" s="151">
        <f t="shared" si="19"/>
        <v>0</v>
      </c>
      <c r="Z52" s="151">
        <f t="shared" si="19"/>
        <v>48000</v>
      </c>
      <c r="AA52" s="151">
        <f t="shared" si="19"/>
        <v>0</v>
      </c>
      <c r="AB52" s="151">
        <f t="shared" si="19"/>
        <v>5135.083333333333</v>
      </c>
    </row>
    <row r="53" spans="1:35" s="4" customFormat="1" x14ac:dyDescent="0.2">
      <c r="A53" s="2"/>
      <c r="B53" s="2"/>
      <c r="C53" s="2"/>
      <c r="D53" s="2"/>
      <c r="E53" s="2"/>
      <c r="F53" s="2"/>
      <c r="G53" s="2"/>
      <c r="Q53" s="2"/>
      <c r="R53" s="2"/>
      <c r="T53" s="2"/>
      <c r="U53" s="2"/>
    </row>
    <row r="54" spans="1:35" x14ac:dyDescent="0.2">
      <c r="X54" s="121"/>
      <c r="AB54" s="121"/>
      <c r="AD54" s="4"/>
      <c r="AF54" s="121"/>
      <c r="AI54" s="121">
        <v>-4.5</v>
      </c>
    </row>
    <row r="55" spans="1:35" x14ac:dyDescent="0.2">
      <c r="AD55" s="4"/>
    </row>
  </sheetData>
  <mergeCells count="12">
    <mergeCell ref="X37:AB37"/>
    <mergeCell ref="B3:D3"/>
    <mergeCell ref="E3:F3"/>
    <mergeCell ref="E4:F4"/>
    <mergeCell ref="E22:F22"/>
    <mergeCell ref="E32:F32"/>
    <mergeCell ref="A37:F37"/>
    <mergeCell ref="G37:K37"/>
    <mergeCell ref="L37:P37"/>
    <mergeCell ref="Q37:R37"/>
    <mergeCell ref="S37:U37"/>
    <mergeCell ref="V37:W37"/>
  </mergeCells>
  <pageMargins left="0.7" right="0.7" top="0.75" bottom="0.75" header="0.3" footer="0.3"/>
  <pageSetup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C46B6-5FEB-4475-8140-56DF4A586C94}">
  <dimension ref="A1:AK50"/>
  <sheetViews>
    <sheetView zoomScale="117" zoomScaleNormal="117" workbookViewId="0">
      <pane ySplit="4" topLeftCell="A10" activePane="bottomLeft" state="frozen"/>
      <selection pane="bottomLeft" activeCell="W19" sqref="W19"/>
    </sheetView>
  </sheetViews>
  <sheetFormatPr baseColWidth="10" defaultColWidth="11.42578125" defaultRowHeight="11.25" x14ac:dyDescent="0.2"/>
  <cols>
    <col min="1" max="3" width="3.7109375" style="2" customWidth="1"/>
    <col min="4" max="4" width="5.7109375" style="2" customWidth="1"/>
    <col min="5" max="5" width="3.7109375" style="2" customWidth="1"/>
    <col min="6" max="10" width="9.28515625" style="2" customWidth="1"/>
    <col min="11" max="11" width="1.7109375" style="2" customWidth="1"/>
    <col min="12" max="17" width="9.28515625" style="2" customWidth="1"/>
    <col min="18" max="18" width="9.28515625" style="4" customWidth="1"/>
    <col min="19" max="28" width="9.28515625" style="2" customWidth="1"/>
    <col min="29" max="16384" width="11.42578125" style="2"/>
  </cols>
  <sheetData>
    <row r="1" spans="1:37" s="4" customFormat="1" x14ac:dyDescent="0.2">
      <c r="A1" s="174" t="s">
        <v>105</v>
      </c>
      <c r="B1" s="175"/>
      <c r="C1" s="175"/>
      <c r="D1" s="175"/>
      <c r="E1" s="176"/>
      <c r="F1" s="176"/>
      <c r="G1" s="37" t="s">
        <v>44</v>
      </c>
      <c r="H1" s="50"/>
      <c r="I1" s="176"/>
      <c r="J1" s="176"/>
      <c r="K1" s="177"/>
      <c r="L1" s="176"/>
      <c r="M1" s="178" t="s">
        <v>88</v>
      </c>
      <c r="N1" s="177">
        <v>2023</v>
      </c>
      <c r="O1" s="3"/>
      <c r="P1" s="3"/>
      <c r="Q1" s="3"/>
    </row>
    <row r="2" spans="1:37" s="4" customFormat="1" x14ac:dyDescent="0.2">
      <c r="A2" s="5" t="s">
        <v>3</v>
      </c>
      <c r="B2" s="6"/>
      <c r="C2" s="6"/>
      <c r="D2" s="6"/>
      <c r="E2" s="6"/>
      <c r="F2" s="7"/>
      <c r="G2" s="2"/>
      <c r="H2" s="2"/>
      <c r="I2" s="2"/>
      <c r="J2" s="8"/>
      <c r="K2" s="8"/>
      <c r="L2" s="3"/>
      <c r="M2" s="3"/>
      <c r="N2" s="3"/>
      <c r="O2" s="3"/>
      <c r="P2" s="3"/>
      <c r="Q2" s="3"/>
    </row>
    <row r="3" spans="1:37" s="4" customFormat="1" x14ac:dyDescent="0.2">
      <c r="A3" s="9" t="s">
        <v>41</v>
      </c>
      <c r="B3" s="189" t="s">
        <v>40</v>
      </c>
      <c r="C3" s="189"/>
      <c r="D3" s="189"/>
      <c r="E3" s="190" t="s">
        <v>82</v>
      </c>
      <c r="F3" s="190"/>
      <c r="G3" s="10"/>
      <c r="H3" s="10"/>
      <c r="I3" s="10"/>
      <c r="J3" s="10"/>
      <c r="K3" s="10"/>
      <c r="L3" s="11"/>
      <c r="M3" s="11"/>
      <c r="N3" s="11"/>
      <c r="O3" s="11"/>
      <c r="P3" s="11"/>
      <c r="Q3" s="11"/>
    </row>
    <row r="4" spans="1:37" s="4" customFormat="1" x14ac:dyDescent="0.2">
      <c r="A4" s="9" t="s">
        <v>42</v>
      </c>
      <c r="B4" s="12" t="s">
        <v>37</v>
      </c>
      <c r="C4" s="12" t="s">
        <v>38</v>
      </c>
      <c r="D4" s="12" t="s">
        <v>39</v>
      </c>
      <c r="E4" s="190" t="s">
        <v>81</v>
      </c>
      <c r="F4" s="190"/>
      <c r="G4" s="9"/>
      <c r="H4" s="9" t="s">
        <v>0</v>
      </c>
      <c r="I4" s="9"/>
      <c r="J4" s="9" t="s">
        <v>5</v>
      </c>
      <c r="K4" s="9"/>
      <c r="L4" s="9" t="s">
        <v>52</v>
      </c>
      <c r="M4" s="9" t="s">
        <v>1</v>
      </c>
      <c r="N4" s="9" t="s">
        <v>2</v>
      </c>
      <c r="O4" s="2"/>
      <c r="P4" s="2"/>
      <c r="Q4" s="2"/>
    </row>
    <row r="5" spans="1:37" s="4" customFormat="1" x14ac:dyDescent="0.2">
      <c r="A5" s="13">
        <v>1</v>
      </c>
      <c r="B5" s="13">
        <v>3</v>
      </c>
      <c r="C5" s="13">
        <v>11</v>
      </c>
      <c r="D5" s="14">
        <v>2023</v>
      </c>
      <c r="E5" s="14" t="s">
        <v>77</v>
      </c>
      <c r="F5" s="167">
        <v>55</v>
      </c>
      <c r="G5" s="15" t="s">
        <v>122</v>
      </c>
      <c r="H5" s="15"/>
      <c r="I5" s="15"/>
      <c r="J5" s="168">
        <v>99037000</v>
      </c>
      <c r="K5" s="14">
        <v>1</v>
      </c>
      <c r="L5" s="16">
        <v>161035</v>
      </c>
      <c r="M5" s="16">
        <f t="shared" ref="M5:M6" si="0">ROUND((L5*19%),0)</f>
        <v>30597</v>
      </c>
      <c r="N5" s="16">
        <f>ROUND((L5+M5),0)</f>
        <v>191632</v>
      </c>
      <c r="O5" s="2"/>
      <c r="P5" s="2"/>
      <c r="Q5" s="2"/>
    </row>
    <row r="6" spans="1:37" s="4" customFormat="1" x14ac:dyDescent="0.2">
      <c r="A6" s="13">
        <v>2</v>
      </c>
      <c r="B6" s="13">
        <v>8</v>
      </c>
      <c r="C6" s="13">
        <v>11</v>
      </c>
      <c r="D6" s="14">
        <v>2023</v>
      </c>
      <c r="E6" s="14" t="s">
        <v>77</v>
      </c>
      <c r="F6" s="167">
        <v>56</v>
      </c>
      <c r="G6" s="15" t="s">
        <v>96</v>
      </c>
      <c r="H6" s="15"/>
      <c r="I6" s="15"/>
      <c r="J6" s="168">
        <v>76743492</v>
      </c>
      <c r="K6" s="14">
        <v>8</v>
      </c>
      <c r="L6" s="16">
        <v>18088</v>
      </c>
      <c r="M6" s="16">
        <f t="shared" si="0"/>
        <v>3437</v>
      </c>
      <c r="N6" s="16">
        <f t="shared" ref="N6" si="1">ROUND((L6+M6),0)</f>
        <v>21525</v>
      </c>
      <c r="O6" s="2"/>
      <c r="P6" s="2"/>
      <c r="Q6" s="2"/>
    </row>
    <row r="7" spans="1:37" s="4" customFormat="1" x14ac:dyDescent="0.2">
      <c r="A7" s="1" t="s">
        <v>51</v>
      </c>
      <c r="B7" s="17"/>
      <c r="C7" s="17"/>
      <c r="D7" s="18"/>
      <c r="E7" s="18"/>
      <c r="F7" s="19"/>
      <c r="G7" s="20"/>
      <c r="H7" s="20"/>
      <c r="I7" s="20"/>
      <c r="J7" s="18"/>
      <c r="K7" s="18"/>
      <c r="L7" s="21">
        <f>SUM(L5:L6)</f>
        <v>179123</v>
      </c>
      <c r="M7" s="21">
        <f>SUM(M5:M6)</f>
        <v>34034</v>
      </c>
      <c r="N7" s="21">
        <f>SUM(N5:N6)</f>
        <v>213157</v>
      </c>
      <c r="O7" s="2"/>
      <c r="P7" s="2"/>
    </row>
    <row r="8" spans="1:37" s="4" customFormat="1" x14ac:dyDescent="0.2">
      <c r="A8" s="22">
        <v>1</v>
      </c>
      <c r="B8" s="22"/>
      <c r="C8" s="22">
        <v>11</v>
      </c>
      <c r="D8" s="23">
        <v>2023</v>
      </c>
      <c r="E8" s="23" t="s">
        <v>78</v>
      </c>
      <c r="F8" s="22"/>
      <c r="G8" s="24"/>
      <c r="H8" s="24"/>
      <c r="I8" s="24"/>
      <c r="J8" s="169"/>
      <c r="K8" s="23"/>
      <c r="L8" s="170"/>
      <c r="M8" s="25">
        <f t="shared" ref="M8:M9" si="2">ROUND((L8*19%),0)</f>
        <v>0</v>
      </c>
      <c r="N8" s="25">
        <f>ROUND((L8+M8),0)</f>
        <v>0</v>
      </c>
      <c r="O8" s="2"/>
      <c r="P8" s="2"/>
      <c r="Q8" s="2"/>
    </row>
    <row r="9" spans="1:37" s="4" customFormat="1" x14ac:dyDescent="0.2">
      <c r="A9" s="22">
        <v>2</v>
      </c>
      <c r="B9" s="22"/>
      <c r="C9" s="22">
        <v>11</v>
      </c>
      <c r="D9" s="23">
        <v>2023</v>
      </c>
      <c r="E9" s="23" t="s">
        <v>78</v>
      </c>
      <c r="F9" s="22"/>
      <c r="G9" s="24"/>
      <c r="H9" s="24"/>
      <c r="I9" s="24"/>
      <c r="J9" s="169"/>
      <c r="K9" s="23"/>
      <c r="L9" s="170"/>
      <c r="M9" s="25">
        <f t="shared" si="2"/>
        <v>0</v>
      </c>
      <c r="N9" s="25">
        <f t="shared" ref="N9" si="3">ROUND((L9+M9),0)</f>
        <v>0</v>
      </c>
      <c r="O9" s="2"/>
      <c r="P9" s="2"/>
      <c r="Q9" s="2"/>
    </row>
    <row r="10" spans="1:37" s="4" customFormat="1" x14ac:dyDescent="0.2">
      <c r="A10" s="26" t="s">
        <v>50</v>
      </c>
      <c r="B10" s="27"/>
      <c r="C10" s="27"/>
      <c r="D10" s="28"/>
      <c r="E10" s="28"/>
      <c r="F10" s="29"/>
      <c r="G10" s="30"/>
      <c r="H10" s="30"/>
      <c r="I10" s="30"/>
      <c r="J10" s="28"/>
      <c r="K10" s="28"/>
      <c r="L10" s="31">
        <f>SUM(L8:L9)</f>
        <v>0</v>
      </c>
      <c r="M10" s="31">
        <f>SUM(M8:M9)</f>
        <v>0</v>
      </c>
      <c r="N10" s="31">
        <f>SUM(N8:N9)</f>
        <v>0</v>
      </c>
      <c r="O10" s="30"/>
      <c r="P10" s="30"/>
      <c r="Q10" s="2"/>
      <c r="R10" s="2"/>
      <c r="S10" s="2"/>
    </row>
    <row r="11" spans="1:37" s="4" customFormat="1" x14ac:dyDescent="0.2">
      <c r="A11" s="32">
        <v>1</v>
      </c>
      <c r="B11" s="32"/>
      <c r="C11" s="32">
        <v>11</v>
      </c>
      <c r="D11" s="33">
        <v>2023</v>
      </c>
      <c r="E11" s="33" t="s">
        <v>79</v>
      </c>
      <c r="F11" s="34"/>
      <c r="G11" s="35"/>
      <c r="H11" s="35"/>
      <c r="I11" s="35"/>
      <c r="J11" s="171"/>
      <c r="K11" s="33"/>
      <c r="L11" s="36"/>
      <c r="M11" s="36">
        <f t="shared" ref="M11:M12" si="4">ROUND((L11*19%),0)</f>
        <v>0</v>
      </c>
      <c r="N11" s="36">
        <f t="shared" ref="N11:N12" si="5">SUM(L11:M11)</f>
        <v>0</v>
      </c>
      <c r="O11" s="30"/>
      <c r="P11" s="30"/>
      <c r="R11" s="2"/>
    </row>
    <row r="12" spans="1:37" s="4" customFormat="1" x14ac:dyDescent="0.2">
      <c r="A12" s="32">
        <v>2</v>
      </c>
      <c r="B12" s="32"/>
      <c r="C12" s="32">
        <v>11</v>
      </c>
      <c r="D12" s="33">
        <v>2023</v>
      </c>
      <c r="E12" s="33" t="s">
        <v>79</v>
      </c>
      <c r="F12" s="34"/>
      <c r="G12" s="35"/>
      <c r="H12" s="35"/>
      <c r="I12" s="35"/>
      <c r="J12" s="33"/>
      <c r="K12" s="33"/>
      <c r="L12" s="36"/>
      <c r="M12" s="36">
        <f t="shared" si="4"/>
        <v>0</v>
      </c>
      <c r="N12" s="36">
        <f t="shared" si="5"/>
        <v>0</v>
      </c>
      <c r="O12" s="30"/>
      <c r="P12" s="30"/>
      <c r="Q12" s="2"/>
    </row>
    <row r="13" spans="1:37" s="4" customFormat="1" x14ac:dyDescent="0.2">
      <c r="A13" s="37" t="s">
        <v>65</v>
      </c>
      <c r="B13" s="38"/>
      <c r="C13" s="38"/>
      <c r="D13" s="39"/>
      <c r="E13" s="39"/>
      <c r="F13" s="40"/>
      <c r="G13" s="41"/>
      <c r="H13" s="41"/>
      <c r="I13" s="41"/>
      <c r="J13" s="39"/>
      <c r="K13" s="39"/>
      <c r="L13" s="42">
        <f>SUM(L11:L12)</f>
        <v>0</v>
      </c>
      <c r="M13" s="42">
        <f t="shared" ref="M13:N13" si="6">SUM(M11:M12)</f>
        <v>0</v>
      </c>
      <c r="N13" s="42">
        <f t="shared" si="6"/>
        <v>0</v>
      </c>
      <c r="O13" s="30"/>
      <c r="P13" s="30"/>
      <c r="Q13" s="2"/>
    </row>
    <row r="14" spans="1:37" s="4" customFormat="1" x14ac:dyDescent="0.2">
      <c r="A14" s="43" t="s">
        <v>16</v>
      </c>
      <c r="B14" s="44"/>
      <c r="C14" s="44"/>
      <c r="D14" s="44"/>
      <c r="E14" s="44"/>
      <c r="F14" s="45"/>
      <c r="G14" s="45"/>
      <c r="H14" s="45"/>
      <c r="I14" s="45"/>
      <c r="J14" s="46"/>
      <c r="K14" s="46"/>
      <c r="L14" s="47">
        <f>+L7+L10+L13</f>
        <v>179123</v>
      </c>
      <c r="M14" s="47">
        <f>+M7+M10+M13</f>
        <v>34034</v>
      </c>
      <c r="N14" s="47">
        <f>+N7+N10+N13</f>
        <v>213157</v>
      </c>
      <c r="O14" s="2"/>
      <c r="P14" s="2"/>
      <c r="Q14" s="2"/>
      <c r="U14" s="50"/>
    </row>
    <row r="15" spans="1:37" x14ac:dyDescent="0.2">
      <c r="U15" s="50"/>
    </row>
    <row r="16" spans="1:37" s="4" customFormat="1" x14ac:dyDescent="0.2">
      <c r="A16" s="51" t="s">
        <v>6</v>
      </c>
      <c r="B16" s="52"/>
      <c r="C16" s="52"/>
      <c r="D16" s="52"/>
      <c r="E16" s="53"/>
      <c r="F16" s="53"/>
      <c r="G16" s="2"/>
      <c r="H16" s="2"/>
      <c r="I16" s="2"/>
      <c r="J16" s="8"/>
      <c r="K16" s="8"/>
      <c r="L16" s="54"/>
      <c r="M16" s="3"/>
      <c r="N16" s="3"/>
      <c r="O16" s="3"/>
      <c r="P16" s="3"/>
      <c r="Q16" s="3"/>
      <c r="U16" s="50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28" x14ac:dyDescent="0.2">
      <c r="A17" s="55" t="s">
        <v>41</v>
      </c>
      <c r="B17" s="56" t="s">
        <v>37</v>
      </c>
      <c r="C17" s="56" t="s">
        <v>38</v>
      </c>
      <c r="D17" s="56" t="s">
        <v>39</v>
      </c>
      <c r="E17" s="191" t="s">
        <v>71</v>
      </c>
      <c r="F17" s="191"/>
      <c r="G17" s="55"/>
      <c r="H17" s="55" t="s">
        <v>4</v>
      </c>
      <c r="I17" s="55"/>
      <c r="J17" s="55" t="s">
        <v>5</v>
      </c>
      <c r="K17" s="55"/>
      <c r="L17" s="55" t="s">
        <v>52</v>
      </c>
      <c r="M17" s="55" t="s">
        <v>35</v>
      </c>
      <c r="N17" s="55" t="s">
        <v>1</v>
      </c>
      <c r="O17" s="55" t="s">
        <v>61</v>
      </c>
      <c r="P17" s="55" t="s">
        <v>2</v>
      </c>
      <c r="R17" s="180"/>
      <c r="S17" s="48"/>
      <c r="T17" s="49"/>
    </row>
    <row r="18" spans="1:28" x14ac:dyDescent="0.2">
      <c r="A18" s="57">
        <v>1</v>
      </c>
      <c r="B18" s="58">
        <v>1</v>
      </c>
      <c r="C18" s="58">
        <v>11</v>
      </c>
      <c r="D18" s="58">
        <v>2023</v>
      </c>
      <c r="E18" s="59" t="s">
        <v>77</v>
      </c>
      <c r="F18" s="59">
        <v>69483561</v>
      </c>
      <c r="G18" s="53" t="s">
        <v>104</v>
      </c>
      <c r="H18" s="60"/>
      <c r="I18" s="53"/>
      <c r="J18" s="61">
        <v>76124890</v>
      </c>
      <c r="K18" s="59">
        <v>1</v>
      </c>
      <c r="L18" s="62">
        <v>81748</v>
      </c>
      <c r="M18" s="62">
        <v>0</v>
      </c>
      <c r="N18" s="62">
        <v>15532</v>
      </c>
      <c r="O18" s="62">
        <v>0</v>
      </c>
      <c r="P18" s="62">
        <f>SUM(L18:O18)</f>
        <v>97280</v>
      </c>
      <c r="Q18" s="121"/>
      <c r="R18" s="181"/>
      <c r="T18" s="54"/>
      <c r="U18" s="166"/>
      <c r="V18" s="166"/>
    </row>
    <row r="19" spans="1:28" x14ac:dyDescent="0.2">
      <c r="A19" s="57">
        <v>2</v>
      </c>
      <c r="B19" s="58">
        <v>27</v>
      </c>
      <c r="C19" s="58">
        <v>11</v>
      </c>
      <c r="D19" s="58">
        <v>2023</v>
      </c>
      <c r="E19" s="59" t="s">
        <v>77</v>
      </c>
      <c r="F19" s="59">
        <v>60319</v>
      </c>
      <c r="G19" s="53" t="s">
        <v>109</v>
      </c>
      <c r="H19" s="60"/>
      <c r="I19" s="53"/>
      <c r="J19" s="61">
        <v>77617950</v>
      </c>
      <c r="K19" s="59">
        <v>7</v>
      </c>
      <c r="L19" s="62">
        <v>26580</v>
      </c>
      <c r="M19" s="62">
        <v>0</v>
      </c>
      <c r="N19" s="62">
        <v>5050</v>
      </c>
      <c r="O19" s="62">
        <v>0</v>
      </c>
      <c r="P19" s="62">
        <f t="shared" ref="P19" si="7">SUM(L19:O19)</f>
        <v>31630</v>
      </c>
      <c r="R19" s="181"/>
      <c r="S19" s="166"/>
      <c r="T19" s="54"/>
      <c r="U19" s="54"/>
      <c r="V19" s="8"/>
    </row>
    <row r="20" spans="1:28" x14ac:dyDescent="0.2">
      <c r="A20" s="1" t="s">
        <v>49</v>
      </c>
      <c r="B20" s="17"/>
      <c r="C20" s="17"/>
      <c r="D20" s="17"/>
      <c r="E20" s="65"/>
      <c r="F20" s="19"/>
      <c r="G20" s="20"/>
      <c r="H20" s="20"/>
      <c r="I20" s="20"/>
      <c r="J20" s="18"/>
      <c r="K20" s="18"/>
      <c r="L20" s="21">
        <f>SUM(L18:L19)</f>
        <v>108328</v>
      </c>
      <c r="M20" s="21">
        <f>SUM(M18:M19)</f>
        <v>0</v>
      </c>
      <c r="N20" s="21">
        <f>SUM(N18:N19)</f>
        <v>20582</v>
      </c>
      <c r="O20" s="21">
        <f>SUM(O18:O19)</f>
        <v>0</v>
      </c>
      <c r="P20" s="21">
        <f>SUM(P18:P19)</f>
        <v>128910</v>
      </c>
      <c r="R20" s="182"/>
      <c r="S20" s="54"/>
      <c r="T20" s="180"/>
      <c r="U20" s="172"/>
      <c r="V20" s="153"/>
      <c r="W20" s="153"/>
    </row>
    <row r="21" spans="1:28" x14ac:dyDescent="0.2">
      <c r="A21" s="66">
        <v>1</v>
      </c>
      <c r="B21" s="66"/>
      <c r="C21" s="66">
        <v>11</v>
      </c>
      <c r="D21" s="66">
        <v>2023</v>
      </c>
      <c r="E21" s="67" t="s">
        <v>78</v>
      </c>
      <c r="F21" s="68"/>
      <c r="G21" s="69"/>
      <c r="H21" s="70"/>
      <c r="I21" s="69"/>
      <c r="J21" s="71"/>
      <c r="K21" s="72"/>
      <c r="L21" s="73"/>
      <c r="M21" s="74">
        <v>0</v>
      </c>
      <c r="N21" s="74">
        <f t="shared" ref="N21:N22" si="8">ROUND((L21*19%),0)</f>
        <v>0</v>
      </c>
      <c r="O21" s="74">
        <v>0</v>
      </c>
      <c r="P21" s="74">
        <f>SUM(L21:O21)</f>
        <v>0</v>
      </c>
      <c r="U21" s="173"/>
      <c r="V21" s="153"/>
      <c r="W21" s="153"/>
    </row>
    <row r="22" spans="1:28" x14ac:dyDescent="0.2">
      <c r="A22" s="66">
        <v>2</v>
      </c>
      <c r="B22" s="66"/>
      <c r="C22" s="66">
        <v>11</v>
      </c>
      <c r="D22" s="66">
        <v>2023</v>
      </c>
      <c r="E22" s="67" t="s">
        <v>78</v>
      </c>
      <c r="F22" s="68"/>
      <c r="G22" s="69"/>
      <c r="H22" s="70"/>
      <c r="I22" s="69"/>
      <c r="J22" s="71"/>
      <c r="K22" s="72"/>
      <c r="L22" s="74"/>
      <c r="M22" s="74">
        <v>0</v>
      </c>
      <c r="N22" s="74">
        <f t="shared" si="8"/>
        <v>0</v>
      </c>
      <c r="O22" s="74">
        <v>0</v>
      </c>
      <c r="P22" s="74">
        <f>SUM(L22:O22)</f>
        <v>0</v>
      </c>
      <c r="R22" s="163"/>
      <c r="T22" s="4"/>
      <c r="U22" s="173"/>
      <c r="V22" s="153"/>
      <c r="W22" s="153"/>
    </row>
    <row r="23" spans="1:28" x14ac:dyDescent="0.2">
      <c r="A23" s="26" t="s">
        <v>48</v>
      </c>
      <c r="B23" s="27"/>
      <c r="C23" s="27"/>
      <c r="D23" s="27"/>
      <c r="E23" s="75"/>
      <c r="F23" s="29"/>
      <c r="G23" s="30"/>
      <c r="H23" s="30"/>
      <c r="I23" s="30"/>
      <c r="J23" s="28"/>
      <c r="K23" s="28"/>
      <c r="L23" s="31">
        <f>SUM(L21:L22)</f>
        <v>0</v>
      </c>
      <c r="M23" s="31">
        <f>SUM(M21:M22)</f>
        <v>0</v>
      </c>
      <c r="N23" s="31">
        <f>SUM(N21:N22)</f>
        <v>0</v>
      </c>
      <c r="O23" s="31">
        <f>SUM(O21:O22)</f>
        <v>0</v>
      </c>
      <c r="P23" s="31">
        <f>SUM(P21:P22)</f>
        <v>0</v>
      </c>
      <c r="R23" s="121"/>
      <c r="S23" s="121"/>
      <c r="T23" s="173"/>
      <c r="U23" s="173"/>
      <c r="V23" s="153"/>
      <c r="W23" s="153"/>
    </row>
    <row r="24" spans="1:28" x14ac:dyDescent="0.2">
      <c r="A24" s="76" t="s">
        <v>17</v>
      </c>
      <c r="B24" s="56"/>
      <c r="C24" s="56"/>
      <c r="D24" s="56"/>
      <c r="E24" s="56"/>
      <c r="F24" s="77"/>
      <c r="G24" s="77"/>
      <c r="H24" s="77"/>
      <c r="I24" s="77"/>
      <c r="J24" s="78"/>
      <c r="K24" s="78"/>
      <c r="L24" s="79">
        <f>+L20+L23</f>
        <v>108328</v>
      </c>
      <c r="M24" s="79">
        <f>+M20-M23</f>
        <v>0</v>
      </c>
      <c r="N24" s="79">
        <f>N20+N23</f>
        <v>20582</v>
      </c>
      <c r="O24" s="79">
        <f>+O20-O23</f>
        <v>0</v>
      </c>
      <c r="P24" s="79">
        <f>+P20+P23</f>
        <v>128910</v>
      </c>
      <c r="R24" s="121"/>
      <c r="S24" s="173"/>
      <c r="T24" s="173"/>
      <c r="U24" s="173"/>
      <c r="V24" s="153"/>
      <c r="W24" s="153"/>
    </row>
    <row r="25" spans="1:28" x14ac:dyDescent="0.2">
      <c r="R25" s="121"/>
      <c r="S25" s="121"/>
      <c r="T25" s="173"/>
      <c r="U25" s="173"/>
      <c r="V25" s="153"/>
      <c r="W25" s="154"/>
    </row>
    <row r="26" spans="1:28" x14ac:dyDescent="0.2">
      <c r="A26" s="125" t="s">
        <v>7</v>
      </c>
      <c r="B26" s="126"/>
      <c r="C26" s="126"/>
      <c r="D26" s="126"/>
      <c r="E26" s="126"/>
      <c r="F26" s="127"/>
      <c r="J26" s="8"/>
      <c r="K26" s="8"/>
      <c r="L26" s="3"/>
      <c r="M26" s="3"/>
      <c r="N26" s="3"/>
      <c r="O26" s="3"/>
      <c r="P26" s="3"/>
      <c r="Q26" s="3"/>
      <c r="R26" s="121"/>
      <c r="S26" s="121"/>
      <c r="T26" s="173"/>
      <c r="U26" s="4"/>
      <c r="V26" s="156"/>
      <c r="W26" s="155"/>
    </row>
    <row r="27" spans="1:28" x14ac:dyDescent="0.2">
      <c r="A27" s="128" t="s">
        <v>41</v>
      </c>
      <c r="B27" s="129" t="s">
        <v>70</v>
      </c>
      <c r="C27" s="129" t="s">
        <v>38</v>
      </c>
      <c r="D27" s="129" t="s">
        <v>39</v>
      </c>
      <c r="E27" s="192" t="s">
        <v>43</v>
      </c>
      <c r="F27" s="192"/>
      <c r="G27" s="128"/>
      <c r="H27" s="128" t="s">
        <v>8</v>
      </c>
      <c r="I27" s="128"/>
      <c r="J27" s="128" t="s">
        <v>5</v>
      </c>
      <c r="K27" s="128"/>
      <c r="L27" s="128" t="s">
        <v>9</v>
      </c>
      <c r="M27" s="128" t="s">
        <v>97</v>
      </c>
      <c r="N27" s="128" t="s">
        <v>10</v>
      </c>
      <c r="R27" s="20"/>
      <c r="S27" s="20"/>
      <c r="T27" s="180"/>
      <c r="U27" s="4"/>
      <c r="V27" s="156"/>
      <c r="W27" s="156"/>
    </row>
    <row r="28" spans="1:28" x14ac:dyDescent="0.2">
      <c r="A28" s="130">
        <v>1</v>
      </c>
      <c r="B28" s="131"/>
      <c r="C28" s="131">
        <v>11</v>
      </c>
      <c r="D28" s="131">
        <v>2023</v>
      </c>
      <c r="E28" s="132" t="s">
        <v>80</v>
      </c>
      <c r="F28" s="133"/>
      <c r="G28" s="137"/>
      <c r="H28" s="138"/>
      <c r="I28" s="138"/>
      <c r="J28" s="139"/>
      <c r="K28" s="132"/>
      <c r="L28" s="140"/>
      <c r="M28" s="141">
        <f>+L28*0.13</f>
        <v>0</v>
      </c>
      <c r="N28" s="141">
        <f>+L28-M28</f>
        <v>0</v>
      </c>
      <c r="R28" s="2"/>
      <c r="S28" s="4"/>
      <c r="T28" s="173"/>
      <c r="U28" s="4"/>
      <c r="V28" s="156"/>
      <c r="W28" s="155"/>
    </row>
    <row r="29" spans="1:28" x14ac:dyDescent="0.2">
      <c r="A29" s="130">
        <v>2</v>
      </c>
      <c r="B29" s="131"/>
      <c r="C29" s="131">
        <v>11</v>
      </c>
      <c r="D29" s="131">
        <v>2023</v>
      </c>
      <c r="E29" s="132" t="s">
        <v>80</v>
      </c>
      <c r="F29" s="133"/>
      <c r="G29" s="137"/>
      <c r="H29" s="138"/>
      <c r="I29" s="138"/>
      <c r="J29" s="139"/>
      <c r="K29" s="132"/>
      <c r="L29" s="140"/>
      <c r="M29" s="141">
        <f>+L29*0.13</f>
        <v>0</v>
      </c>
      <c r="N29" s="141">
        <f t="shared" ref="N29" si="9">+L29-M29</f>
        <v>0</v>
      </c>
      <c r="R29" s="41"/>
      <c r="S29" s="180"/>
      <c r="T29" s="174"/>
      <c r="U29" s="173"/>
      <c r="V29" s="153"/>
      <c r="W29" s="154"/>
    </row>
    <row r="30" spans="1:28" x14ac:dyDescent="0.2">
      <c r="A30" s="134" t="s">
        <v>18</v>
      </c>
      <c r="B30" s="135"/>
      <c r="C30" s="135"/>
      <c r="D30" s="135"/>
      <c r="E30" s="129"/>
      <c r="F30" s="136"/>
      <c r="G30" s="136"/>
      <c r="H30" s="136"/>
      <c r="I30" s="136"/>
      <c r="J30" s="142"/>
      <c r="K30" s="142"/>
      <c r="L30" s="143">
        <f>SUM(L28:L29)</f>
        <v>0</v>
      </c>
      <c r="M30" s="143">
        <f>SUM(M28:M29)</f>
        <v>0</v>
      </c>
      <c r="N30" s="143">
        <f>SUM(N28:N29)</f>
        <v>0</v>
      </c>
      <c r="R30" s="2"/>
      <c r="U30" s="4"/>
      <c r="V30" s="156"/>
      <c r="W30" s="155"/>
    </row>
    <row r="32" spans="1:28" x14ac:dyDescent="0.2">
      <c r="A32" s="193" t="s">
        <v>123</v>
      </c>
      <c r="B32" s="193"/>
      <c r="C32" s="193"/>
      <c r="D32" s="193"/>
      <c r="E32" s="193"/>
      <c r="F32" s="193"/>
      <c r="G32" s="183" t="s">
        <v>55</v>
      </c>
      <c r="H32" s="183"/>
      <c r="I32" s="183"/>
      <c r="J32" s="183"/>
      <c r="K32" s="183"/>
      <c r="L32" s="184" t="s">
        <v>83</v>
      </c>
      <c r="M32" s="184"/>
      <c r="N32" s="184"/>
      <c r="O32" s="184"/>
      <c r="P32" s="184"/>
      <c r="Q32" s="185" t="s">
        <v>75</v>
      </c>
      <c r="R32" s="185"/>
      <c r="S32" s="186" t="s">
        <v>73</v>
      </c>
      <c r="T32" s="186"/>
      <c r="U32" s="186"/>
      <c r="V32" s="187" t="s">
        <v>12</v>
      </c>
      <c r="W32" s="187"/>
      <c r="X32" s="188" t="s">
        <v>69</v>
      </c>
      <c r="Y32" s="188"/>
      <c r="Z32" s="188"/>
      <c r="AA32" s="188"/>
      <c r="AB32" s="188"/>
    </row>
    <row r="33" spans="1:28" x14ac:dyDescent="0.2">
      <c r="A33" s="83" t="s">
        <v>11</v>
      </c>
      <c r="B33" s="84" t="s">
        <v>47</v>
      </c>
      <c r="C33" s="80"/>
      <c r="D33" s="80"/>
      <c r="E33" s="80"/>
      <c r="F33" s="81">
        <f>+L14</f>
        <v>179123</v>
      </c>
      <c r="G33" s="82" t="s">
        <v>53</v>
      </c>
      <c r="H33" s="85" t="s">
        <v>52</v>
      </c>
      <c r="I33" s="85" t="s">
        <v>1</v>
      </c>
      <c r="J33" s="85" t="s">
        <v>2</v>
      </c>
      <c r="K33" s="86"/>
      <c r="L33" s="88" t="s">
        <v>52</v>
      </c>
      <c r="M33" s="89" t="s">
        <v>35</v>
      </c>
      <c r="N33" s="88" t="s">
        <v>1</v>
      </c>
      <c r="O33" s="89" t="s">
        <v>67</v>
      </c>
      <c r="P33" s="89" t="s">
        <v>2</v>
      </c>
      <c r="Q33" s="157" t="s">
        <v>76</v>
      </c>
      <c r="R33" s="157" t="s">
        <v>60</v>
      </c>
      <c r="S33" s="90" t="s">
        <v>9</v>
      </c>
      <c r="T33" s="91" t="s">
        <v>74</v>
      </c>
      <c r="U33" s="92" t="s">
        <v>10</v>
      </c>
      <c r="V33" s="87" t="s">
        <v>56</v>
      </c>
      <c r="W33" s="87" t="s">
        <v>57</v>
      </c>
      <c r="X33" s="122" t="s">
        <v>58</v>
      </c>
      <c r="Y33" s="122" t="s">
        <v>68</v>
      </c>
      <c r="Z33" s="122" t="s">
        <v>62</v>
      </c>
      <c r="AA33" s="122" t="s">
        <v>72</v>
      </c>
      <c r="AB33" s="122" t="s">
        <v>59</v>
      </c>
    </row>
    <row r="34" spans="1:28" x14ac:dyDescent="0.2">
      <c r="A34" s="83" t="s">
        <v>11</v>
      </c>
      <c r="B34" s="84" t="s">
        <v>13</v>
      </c>
      <c r="C34" s="84"/>
      <c r="D34" s="84"/>
      <c r="E34" s="84"/>
      <c r="F34" s="81">
        <f>+M7</f>
        <v>34034</v>
      </c>
      <c r="G34" s="86" t="s">
        <v>22</v>
      </c>
      <c r="H34" s="93">
        <v>362422</v>
      </c>
      <c r="I34" s="93">
        <f t="shared" ref="I34:I45" si="10">ROUND((H34*0.19),0)</f>
        <v>68860</v>
      </c>
      <c r="J34" s="93">
        <f>SUM(H34:I34)</f>
        <v>431282</v>
      </c>
      <c r="K34" s="86"/>
      <c r="L34" s="96">
        <v>206080</v>
      </c>
      <c r="M34" s="96">
        <v>0</v>
      </c>
      <c r="N34" s="96">
        <v>39155</v>
      </c>
      <c r="O34" s="97">
        <v>0</v>
      </c>
      <c r="P34" s="97">
        <f>SUM(L34:O34)</f>
        <v>245235</v>
      </c>
      <c r="Q34" s="158">
        <v>0</v>
      </c>
      <c r="R34" s="158">
        <v>0</v>
      </c>
      <c r="S34" s="98">
        <v>0</v>
      </c>
      <c r="T34" s="98">
        <f>+S34*0.13</f>
        <v>0</v>
      </c>
      <c r="U34" s="98">
        <f t="shared" ref="U34:U45" si="11">+S34-T34</f>
        <v>0</v>
      </c>
      <c r="V34" s="94">
        <v>0.1</v>
      </c>
      <c r="W34" s="95">
        <f t="shared" ref="W34:W45" si="12">ROUND((H34*V34),2)</f>
        <v>36242.199999999997</v>
      </c>
      <c r="X34" s="123">
        <v>0</v>
      </c>
      <c r="Y34" s="123">
        <v>0</v>
      </c>
      <c r="Z34" s="123">
        <v>48000</v>
      </c>
      <c r="AA34" s="123">
        <v>0</v>
      </c>
      <c r="AB34" s="123">
        <v>30084</v>
      </c>
    </row>
    <row r="35" spans="1:28" x14ac:dyDescent="0.2">
      <c r="A35" s="83" t="s">
        <v>11</v>
      </c>
      <c r="B35" s="99" t="s">
        <v>45</v>
      </c>
      <c r="C35" s="84"/>
      <c r="D35" s="84"/>
      <c r="E35" s="84"/>
      <c r="F35" s="100">
        <f>+M10</f>
        <v>0</v>
      </c>
      <c r="G35" s="86" t="s">
        <v>23</v>
      </c>
      <c r="H35" s="93">
        <v>727324</v>
      </c>
      <c r="I35" s="93">
        <v>138191</v>
      </c>
      <c r="J35" s="93">
        <f t="shared" ref="J35:J45" si="13">SUM(H35:I35)</f>
        <v>865515</v>
      </c>
      <c r="K35" s="86"/>
      <c r="L35" s="96">
        <v>24120</v>
      </c>
      <c r="M35" s="96">
        <v>0</v>
      </c>
      <c r="N35" s="96">
        <v>4583</v>
      </c>
      <c r="O35" s="97">
        <v>0</v>
      </c>
      <c r="P35" s="97">
        <f t="shared" ref="P35:P45" si="14">SUM(L35:O35)</f>
        <v>28703</v>
      </c>
      <c r="Q35" s="158">
        <v>0</v>
      </c>
      <c r="R35" s="158">
        <v>0</v>
      </c>
      <c r="S35" s="98">
        <v>0</v>
      </c>
      <c r="T35" s="98">
        <f t="shared" ref="T35:T45" si="15">+S35*0.13</f>
        <v>0</v>
      </c>
      <c r="U35" s="98">
        <f t="shared" si="11"/>
        <v>0</v>
      </c>
      <c r="V35" s="94">
        <v>0.1</v>
      </c>
      <c r="W35" s="95">
        <f t="shared" si="12"/>
        <v>72732.399999999994</v>
      </c>
      <c r="X35" s="123">
        <v>0</v>
      </c>
      <c r="Y35" s="123">
        <v>0</v>
      </c>
      <c r="Z35" s="123">
        <v>48000</v>
      </c>
      <c r="AA35" s="123">
        <v>0</v>
      </c>
      <c r="AB35" s="123">
        <v>0</v>
      </c>
    </row>
    <row r="36" spans="1:28" s="4" customFormat="1" x14ac:dyDescent="0.2">
      <c r="A36" s="83" t="s">
        <v>11</v>
      </c>
      <c r="B36" s="101" t="s">
        <v>64</v>
      </c>
      <c r="C36" s="101"/>
      <c r="D36" s="84"/>
      <c r="E36" s="84"/>
      <c r="F36" s="102">
        <v>0</v>
      </c>
      <c r="G36" s="86" t="s">
        <v>24</v>
      </c>
      <c r="H36" s="93">
        <v>3119121</v>
      </c>
      <c r="I36" s="93">
        <f t="shared" si="10"/>
        <v>592633</v>
      </c>
      <c r="J36" s="93">
        <f t="shared" si="13"/>
        <v>3711754</v>
      </c>
      <c r="K36" s="86"/>
      <c r="L36" s="96">
        <v>25050</v>
      </c>
      <c r="M36" s="96">
        <v>0</v>
      </c>
      <c r="N36" s="96">
        <v>4760</v>
      </c>
      <c r="O36" s="97">
        <v>0</v>
      </c>
      <c r="P36" s="97">
        <f t="shared" si="14"/>
        <v>29810</v>
      </c>
      <c r="Q36" s="158">
        <v>0</v>
      </c>
      <c r="R36" s="158">
        <v>0</v>
      </c>
      <c r="S36" s="98">
        <v>0</v>
      </c>
      <c r="T36" s="98">
        <f t="shared" si="15"/>
        <v>0</v>
      </c>
      <c r="U36" s="98">
        <f t="shared" si="11"/>
        <v>0</v>
      </c>
      <c r="V36" s="94">
        <v>0.1</v>
      </c>
      <c r="W36" s="95">
        <f t="shared" si="12"/>
        <v>311912.09999999998</v>
      </c>
      <c r="X36" s="123">
        <v>0</v>
      </c>
      <c r="Y36" s="123">
        <v>0</v>
      </c>
      <c r="Z36" s="123">
        <v>48000</v>
      </c>
      <c r="AA36" s="123">
        <v>0</v>
      </c>
      <c r="AB36" s="123">
        <v>0</v>
      </c>
    </row>
    <row r="37" spans="1:28" s="4" customFormat="1" x14ac:dyDescent="0.2">
      <c r="A37" s="83" t="s">
        <v>11</v>
      </c>
      <c r="B37" s="84" t="s">
        <v>63</v>
      </c>
      <c r="C37" s="84"/>
      <c r="D37" s="84"/>
      <c r="E37" s="84"/>
      <c r="F37" s="103">
        <f>SUM(F34:F35)</f>
        <v>34034</v>
      </c>
      <c r="G37" s="86" t="s">
        <v>25</v>
      </c>
      <c r="H37" s="93">
        <v>548065</v>
      </c>
      <c r="I37" s="93">
        <f t="shared" si="10"/>
        <v>104132</v>
      </c>
      <c r="J37" s="93">
        <f t="shared" si="13"/>
        <v>652197</v>
      </c>
      <c r="K37" s="93"/>
      <c r="L37" s="96">
        <v>93368</v>
      </c>
      <c r="M37" s="96">
        <v>0</v>
      </c>
      <c r="N37" s="96">
        <v>18310</v>
      </c>
      <c r="O37" s="97">
        <v>0</v>
      </c>
      <c r="P37" s="97">
        <f t="shared" si="14"/>
        <v>111678</v>
      </c>
      <c r="Q37" s="158">
        <v>0</v>
      </c>
      <c r="R37" s="158">
        <v>0</v>
      </c>
      <c r="S37" s="98">
        <v>0</v>
      </c>
      <c r="T37" s="98">
        <f t="shared" si="15"/>
        <v>0</v>
      </c>
      <c r="U37" s="98">
        <f t="shared" si="11"/>
        <v>0</v>
      </c>
      <c r="V37" s="94">
        <v>0.1</v>
      </c>
      <c r="W37" s="95">
        <f t="shared" si="12"/>
        <v>54806.5</v>
      </c>
      <c r="X37" s="123">
        <v>0</v>
      </c>
      <c r="Y37" s="123">
        <v>0</v>
      </c>
      <c r="Z37" s="123">
        <v>48000</v>
      </c>
      <c r="AA37" s="123">
        <v>0</v>
      </c>
      <c r="AB37" s="123">
        <v>0</v>
      </c>
    </row>
    <row r="38" spans="1:28" s="4" customFormat="1" x14ac:dyDescent="0.2">
      <c r="A38" s="83" t="s">
        <v>11</v>
      </c>
      <c r="B38" s="99" t="s">
        <v>14</v>
      </c>
      <c r="C38" s="84"/>
      <c r="D38" s="84"/>
      <c r="E38" s="84"/>
      <c r="F38" s="100">
        <f>-N20</f>
        <v>-20582</v>
      </c>
      <c r="G38" s="86" t="s">
        <v>26</v>
      </c>
      <c r="H38" s="93">
        <v>238087</v>
      </c>
      <c r="I38" s="93">
        <f t="shared" si="10"/>
        <v>45237</v>
      </c>
      <c r="J38" s="93">
        <f t="shared" si="13"/>
        <v>283324</v>
      </c>
      <c r="K38" s="93"/>
      <c r="L38" s="96">
        <v>111383</v>
      </c>
      <c r="M38" s="96">
        <v>0</v>
      </c>
      <c r="N38" s="96">
        <v>21163</v>
      </c>
      <c r="O38" s="97">
        <v>0</v>
      </c>
      <c r="P38" s="97">
        <f t="shared" si="14"/>
        <v>132546</v>
      </c>
      <c r="Q38" s="158">
        <v>0</v>
      </c>
      <c r="R38" s="158">
        <v>0</v>
      </c>
      <c r="S38" s="98">
        <v>0</v>
      </c>
      <c r="T38" s="98">
        <f t="shared" si="15"/>
        <v>0</v>
      </c>
      <c r="U38" s="98">
        <f t="shared" si="11"/>
        <v>0</v>
      </c>
      <c r="V38" s="94">
        <v>0.1</v>
      </c>
      <c r="W38" s="95">
        <f t="shared" si="12"/>
        <v>23808.7</v>
      </c>
      <c r="X38" s="123">
        <v>0</v>
      </c>
      <c r="Y38" s="123">
        <v>0</v>
      </c>
      <c r="Z38" s="123">
        <v>48000</v>
      </c>
      <c r="AA38" s="123">
        <v>0</v>
      </c>
      <c r="AB38" s="123">
        <v>0</v>
      </c>
    </row>
    <row r="39" spans="1:28" s="4" customFormat="1" x14ac:dyDescent="0.2">
      <c r="A39" s="83" t="s">
        <v>11</v>
      </c>
      <c r="B39" s="84" t="s">
        <v>46</v>
      </c>
      <c r="C39" s="84"/>
      <c r="D39" s="84"/>
      <c r="E39" s="84"/>
      <c r="F39" s="81">
        <f>-N23</f>
        <v>0</v>
      </c>
      <c r="G39" s="86" t="s">
        <v>27</v>
      </c>
      <c r="H39" s="93">
        <v>338803</v>
      </c>
      <c r="I39" s="93">
        <f t="shared" si="10"/>
        <v>64373</v>
      </c>
      <c r="J39" s="93">
        <f t="shared" si="13"/>
        <v>403176</v>
      </c>
      <c r="K39" s="93"/>
      <c r="L39" s="96">
        <v>111033</v>
      </c>
      <c r="M39" s="96">
        <v>0</v>
      </c>
      <c r="N39" s="96">
        <v>21095</v>
      </c>
      <c r="O39" s="97">
        <v>0</v>
      </c>
      <c r="P39" s="97">
        <f t="shared" si="14"/>
        <v>132128</v>
      </c>
      <c r="Q39" s="158">
        <v>0</v>
      </c>
      <c r="R39" s="158">
        <v>0</v>
      </c>
      <c r="S39" s="98">
        <v>0</v>
      </c>
      <c r="T39" s="98">
        <f t="shared" si="15"/>
        <v>0</v>
      </c>
      <c r="U39" s="98">
        <f t="shared" si="11"/>
        <v>0</v>
      </c>
      <c r="V39" s="94">
        <v>0.15</v>
      </c>
      <c r="W39" s="95">
        <f t="shared" si="12"/>
        <v>50820.45</v>
      </c>
      <c r="X39" s="123">
        <v>0</v>
      </c>
      <c r="Y39" s="123">
        <v>0</v>
      </c>
      <c r="Z39" s="123">
        <v>48000</v>
      </c>
      <c r="AA39" s="123">
        <v>0</v>
      </c>
      <c r="AB39" s="123">
        <v>0</v>
      </c>
    </row>
    <row r="40" spans="1:28" s="4" customFormat="1" x14ac:dyDescent="0.2">
      <c r="A40" s="83" t="s">
        <v>11</v>
      </c>
      <c r="B40" s="84" t="s">
        <v>15</v>
      </c>
      <c r="C40" s="84"/>
      <c r="D40" s="84"/>
      <c r="E40" s="84"/>
      <c r="F40" s="81">
        <f>SUM(F37:F39)</f>
        <v>13452</v>
      </c>
      <c r="G40" s="86" t="s">
        <v>28</v>
      </c>
      <c r="H40" s="93">
        <v>3555847</v>
      </c>
      <c r="I40" s="93">
        <f t="shared" si="10"/>
        <v>675611</v>
      </c>
      <c r="J40" s="93">
        <f t="shared" si="13"/>
        <v>4231458</v>
      </c>
      <c r="K40" s="93"/>
      <c r="L40" s="96">
        <v>1032354</v>
      </c>
      <c r="M40" s="96">
        <v>0</v>
      </c>
      <c r="N40" s="96">
        <v>196148</v>
      </c>
      <c r="O40" s="97">
        <v>0</v>
      </c>
      <c r="P40" s="97">
        <f t="shared" si="14"/>
        <v>1228502</v>
      </c>
      <c r="Q40" s="158">
        <v>0</v>
      </c>
      <c r="R40" s="158">
        <v>0</v>
      </c>
      <c r="S40" s="98">
        <v>0</v>
      </c>
      <c r="T40" s="98">
        <f t="shared" si="15"/>
        <v>0</v>
      </c>
      <c r="U40" s="98">
        <f t="shared" si="11"/>
        <v>0</v>
      </c>
      <c r="V40" s="94">
        <v>5.0000000000000001E-3</v>
      </c>
      <c r="W40" s="95">
        <f t="shared" si="12"/>
        <v>17779.240000000002</v>
      </c>
      <c r="X40" s="123">
        <v>0</v>
      </c>
      <c r="Y40" s="123">
        <v>0</v>
      </c>
      <c r="Z40" s="123">
        <v>48000</v>
      </c>
      <c r="AA40" s="123">
        <v>0</v>
      </c>
      <c r="AB40" s="123">
        <v>31537</v>
      </c>
    </row>
    <row r="41" spans="1:28" s="4" customFormat="1" x14ac:dyDescent="0.2">
      <c r="A41" s="83" t="s">
        <v>11</v>
      </c>
      <c r="B41" s="84" t="s">
        <v>34</v>
      </c>
      <c r="C41" s="84"/>
      <c r="D41" s="84"/>
      <c r="E41" s="84"/>
      <c r="F41" s="81">
        <f>+M30</f>
        <v>0</v>
      </c>
      <c r="G41" s="86" t="s">
        <v>29</v>
      </c>
      <c r="H41" s="93">
        <v>481797</v>
      </c>
      <c r="I41" s="93">
        <v>91542</v>
      </c>
      <c r="J41" s="93">
        <f t="shared" si="13"/>
        <v>573339</v>
      </c>
      <c r="K41" s="93"/>
      <c r="L41" s="96">
        <v>276608</v>
      </c>
      <c r="M41" s="96">
        <v>0</v>
      </c>
      <c r="N41" s="96">
        <v>52555</v>
      </c>
      <c r="O41" s="97">
        <v>0</v>
      </c>
      <c r="P41" s="97">
        <f t="shared" si="14"/>
        <v>329163</v>
      </c>
      <c r="Q41" s="158">
        <v>0</v>
      </c>
      <c r="R41" s="158">
        <v>0</v>
      </c>
      <c r="S41" s="98">
        <v>0</v>
      </c>
      <c r="T41" s="98">
        <f t="shared" si="15"/>
        <v>0</v>
      </c>
      <c r="U41" s="98">
        <f t="shared" si="11"/>
        <v>0</v>
      </c>
      <c r="V41" s="94">
        <v>0.1</v>
      </c>
      <c r="W41" s="95">
        <f t="shared" si="12"/>
        <v>48179.7</v>
      </c>
      <c r="X41" s="123">
        <v>0</v>
      </c>
      <c r="Y41" s="123">
        <v>0</v>
      </c>
      <c r="Z41" s="123">
        <v>48000</v>
      </c>
      <c r="AA41" s="123">
        <v>0</v>
      </c>
      <c r="AB41" s="123">
        <v>0</v>
      </c>
    </row>
    <row r="42" spans="1:28" s="4" customFormat="1" x14ac:dyDescent="0.2">
      <c r="A42" s="83" t="s">
        <v>11</v>
      </c>
      <c r="B42" s="84" t="s">
        <v>12</v>
      </c>
      <c r="C42" s="84"/>
      <c r="D42" s="104">
        <v>0.02</v>
      </c>
      <c r="E42" s="84"/>
      <c r="F42" s="81">
        <f>ROUND((L14*D42),0)</f>
        <v>3582</v>
      </c>
      <c r="G42" s="86" t="s">
        <v>30</v>
      </c>
      <c r="H42" s="93">
        <v>656887</v>
      </c>
      <c r="I42" s="93">
        <f t="shared" si="10"/>
        <v>124809</v>
      </c>
      <c r="J42" s="93">
        <f t="shared" si="13"/>
        <v>781696</v>
      </c>
      <c r="K42" s="93"/>
      <c r="L42" s="96">
        <v>107268</v>
      </c>
      <c r="M42" s="96">
        <v>0</v>
      </c>
      <c r="N42" s="96">
        <v>20381</v>
      </c>
      <c r="O42" s="97">
        <v>0</v>
      </c>
      <c r="P42" s="97">
        <f t="shared" si="14"/>
        <v>127649</v>
      </c>
      <c r="Q42" s="158">
        <v>0</v>
      </c>
      <c r="R42" s="158">
        <v>0</v>
      </c>
      <c r="S42" s="98">
        <v>0</v>
      </c>
      <c r="T42" s="98">
        <f t="shared" si="15"/>
        <v>0</v>
      </c>
      <c r="U42" s="98">
        <f t="shared" si="11"/>
        <v>0</v>
      </c>
      <c r="V42" s="94">
        <v>0.1</v>
      </c>
      <c r="W42" s="95">
        <f t="shared" si="12"/>
        <v>65688.7</v>
      </c>
      <c r="X42" s="123">
        <v>0</v>
      </c>
      <c r="Y42" s="123">
        <v>0</v>
      </c>
      <c r="Z42" s="123">
        <v>48000</v>
      </c>
      <c r="AA42" s="123">
        <v>0</v>
      </c>
      <c r="AB42" s="123">
        <v>0</v>
      </c>
    </row>
    <row r="43" spans="1:28" s="4" customFormat="1" x14ac:dyDescent="0.2">
      <c r="A43" s="83" t="s">
        <v>11</v>
      </c>
      <c r="B43" s="105" t="s">
        <v>66</v>
      </c>
      <c r="C43" s="106"/>
      <c r="D43" s="106"/>
      <c r="E43" s="84"/>
      <c r="F43" s="107">
        <v>0</v>
      </c>
      <c r="G43" s="86" t="s">
        <v>31</v>
      </c>
      <c r="H43" s="93">
        <v>365298</v>
      </c>
      <c r="I43" s="93">
        <f t="shared" si="10"/>
        <v>69407</v>
      </c>
      <c r="J43" s="93">
        <f t="shared" si="13"/>
        <v>434705</v>
      </c>
      <c r="K43" s="93"/>
      <c r="L43" s="96">
        <v>109867</v>
      </c>
      <c r="M43" s="96">
        <v>0</v>
      </c>
      <c r="N43" s="96">
        <v>20875</v>
      </c>
      <c r="O43" s="97">
        <v>0</v>
      </c>
      <c r="P43" s="97">
        <f t="shared" si="14"/>
        <v>130742</v>
      </c>
      <c r="Q43" s="158">
        <v>0</v>
      </c>
      <c r="R43" s="158">
        <v>0</v>
      </c>
      <c r="S43" s="98">
        <v>0</v>
      </c>
      <c r="T43" s="98">
        <f t="shared" si="15"/>
        <v>0</v>
      </c>
      <c r="U43" s="98">
        <f t="shared" si="11"/>
        <v>0</v>
      </c>
      <c r="V43" s="94">
        <v>0.02</v>
      </c>
      <c r="W43" s="95">
        <f t="shared" si="12"/>
        <v>7305.96</v>
      </c>
      <c r="X43" s="123">
        <v>0</v>
      </c>
      <c r="Y43" s="123">
        <v>0</v>
      </c>
      <c r="Z43" s="123">
        <v>48000</v>
      </c>
      <c r="AA43" s="123">
        <v>0</v>
      </c>
      <c r="AB43" s="123">
        <v>0</v>
      </c>
    </row>
    <row r="44" spans="1:28" s="4" customFormat="1" x14ac:dyDescent="0.2">
      <c r="A44" s="83" t="s">
        <v>11</v>
      </c>
      <c r="B44" s="106" t="s">
        <v>19</v>
      </c>
      <c r="C44" s="106"/>
      <c r="D44" s="106"/>
      <c r="E44" s="84"/>
      <c r="F44" s="108">
        <f>SUM(F40:F42)</f>
        <v>17034</v>
      </c>
      <c r="G44" s="86" t="s">
        <v>32</v>
      </c>
      <c r="H44" s="93">
        <v>179123</v>
      </c>
      <c r="I44" s="93">
        <v>34034</v>
      </c>
      <c r="J44" s="93">
        <f t="shared" si="13"/>
        <v>213157</v>
      </c>
      <c r="K44" s="93"/>
      <c r="L44" s="96">
        <v>108328</v>
      </c>
      <c r="M44" s="96">
        <v>0</v>
      </c>
      <c r="N44" s="96">
        <v>20582</v>
      </c>
      <c r="O44" s="97">
        <v>0</v>
      </c>
      <c r="P44" s="97">
        <f t="shared" si="14"/>
        <v>128910</v>
      </c>
      <c r="Q44" s="158">
        <v>0</v>
      </c>
      <c r="R44" s="158">
        <v>0</v>
      </c>
      <c r="S44" s="98">
        <v>0</v>
      </c>
      <c r="T44" s="98">
        <f t="shared" si="15"/>
        <v>0</v>
      </c>
      <c r="U44" s="98">
        <f t="shared" si="11"/>
        <v>0</v>
      </c>
      <c r="V44" s="94">
        <v>0.02</v>
      </c>
      <c r="W44" s="95">
        <f t="shared" si="12"/>
        <v>3582.46</v>
      </c>
      <c r="X44" s="123">
        <v>0</v>
      </c>
      <c r="Y44" s="123">
        <v>0</v>
      </c>
      <c r="Z44" s="123">
        <v>48000</v>
      </c>
      <c r="AA44" s="123">
        <v>0</v>
      </c>
      <c r="AB44" s="123">
        <v>0</v>
      </c>
    </row>
    <row r="45" spans="1:28" s="4" customFormat="1" x14ac:dyDescent="0.2">
      <c r="A45" s="109" t="s">
        <v>20</v>
      </c>
      <c r="B45" s="110"/>
      <c r="C45" s="110"/>
      <c r="D45" s="110"/>
      <c r="E45" s="110"/>
      <c r="F45" s="111">
        <f>+F40+F42</f>
        <v>17034</v>
      </c>
      <c r="G45" s="86" t="s">
        <v>33</v>
      </c>
      <c r="H45" s="93">
        <v>0</v>
      </c>
      <c r="I45" s="93">
        <f t="shared" si="10"/>
        <v>0</v>
      </c>
      <c r="J45" s="93">
        <f t="shared" si="13"/>
        <v>0</v>
      </c>
      <c r="K45" s="93"/>
      <c r="L45" s="96">
        <v>0</v>
      </c>
      <c r="M45" s="96">
        <v>0</v>
      </c>
      <c r="N45" s="96">
        <v>0</v>
      </c>
      <c r="O45" s="97">
        <v>0</v>
      </c>
      <c r="P45" s="97">
        <f t="shared" si="14"/>
        <v>0</v>
      </c>
      <c r="Q45" s="158">
        <v>0</v>
      </c>
      <c r="R45" s="158">
        <v>0</v>
      </c>
      <c r="S45" s="98">
        <v>0</v>
      </c>
      <c r="T45" s="98">
        <f t="shared" si="15"/>
        <v>0</v>
      </c>
      <c r="U45" s="98">
        <f t="shared" si="11"/>
        <v>0</v>
      </c>
      <c r="V45" s="94"/>
      <c r="W45" s="95">
        <f t="shared" si="12"/>
        <v>0</v>
      </c>
      <c r="X45" s="123">
        <v>0</v>
      </c>
      <c r="Y45" s="123">
        <v>0</v>
      </c>
      <c r="Z45" s="123">
        <v>0</v>
      </c>
      <c r="AA45" s="123">
        <v>0</v>
      </c>
      <c r="AB45" s="123">
        <v>0</v>
      </c>
    </row>
    <row r="46" spans="1:28" s="4" customFormat="1" x14ac:dyDescent="0.2">
      <c r="A46" s="109" t="s">
        <v>21</v>
      </c>
      <c r="B46" s="110"/>
      <c r="C46" s="110"/>
      <c r="D46" s="110"/>
      <c r="E46" s="110"/>
      <c r="F46" s="112">
        <f>+F45/L14</f>
        <v>9.5096665419851165E-2</v>
      </c>
      <c r="G46" s="113" t="s">
        <v>36</v>
      </c>
      <c r="H46" s="114">
        <f>SUM(H34:H45)</f>
        <v>10572774</v>
      </c>
      <c r="I46" s="114">
        <f>SUM(I34:I45)</f>
        <v>2008829</v>
      </c>
      <c r="J46" s="114">
        <f>SUM(J34:J45)</f>
        <v>12581603</v>
      </c>
      <c r="K46" s="93"/>
      <c r="L46" s="116">
        <f>SUM(L34:L45)</f>
        <v>2205459</v>
      </c>
      <c r="M46" s="116">
        <f t="shared" ref="M46:P46" si="16">SUM(M34:M45)</f>
        <v>0</v>
      </c>
      <c r="N46" s="116">
        <f t="shared" si="16"/>
        <v>419607</v>
      </c>
      <c r="O46" s="116">
        <f t="shared" si="16"/>
        <v>0</v>
      </c>
      <c r="P46" s="116">
        <f t="shared" si="16"/>
        <v>2625066</v>
      </c>
      <c r="Q46" s="159">
        <f>SUM(Q34:Q45)</f>
        <v>0</v>
      </c>
      <c r="R46" s="159">
        <f>SUM(R34:R45)</f>
        <v>0</v>
      </c>
      <c r="S46" s="117">
        <f>SUM(S34:S45)</f>
        <v>0</v>
      </c>
      <c r="T46" s="117">
        <f t="shared" ref="T46:U46" si="17">SUM(T34:T45)</f>
        <v>0</v>
      </c>
      <c r="U46" s="117">
        <f t="shared" si="17"/>
        <v>0</v>
      </c>
      <c r="V46" s="144">
        <f>SUM(V34:V45)</f>
        <v>0.89500000000000002</v>
      </c>
      <c r="W46" s="115">
        <f>SUM(W34:W45)</f>
        <v>692858.4099999998</v>
      </c>
      <c r="X46" s="124">
        <f>SUM(X34:X45)</f>
        <v>0</v>
      </c>
      <c r="Y46" s="124">
        <f t="shared" ref="Y46:AB46" si="18">SUM(Y34:Y45)</f>
        <v>0</v>
      </c>
      <c r="Z46" s="124">
        <f t="shared" si="18"/>
        <v>528000</v>
      </c>
      <c r="AA46" s="124">
        <f>SUM(AA34:AA45)</f>
        <v>0</v>
      </c>
      <c r="AB46" s="124">
        <f t="shared" si="18"/>
        <v>61621</v>
      </c>
    </row>
    <row r="47" spans="1:28" s="4" customFormat="1" x14ac:dyDescent="0.2">
      <c r="A47" s="118" t="s">
        <v>125</v>
      </c>
      <c r="B47" s="119"/>
      <c r="C47" s="119"/>
      <c r="D47" s="119"/>
      <c r="E47" s="119"/>
      <c r="F47" s="120">
        <f>+F40/L14</f>
        <v>7.5099233487603487E-2</v>
      </c>
      <c r="G47" s="145" t="s">
        <v>54</v>
      </c>
      <c r="H47" s="146">
        <f>+H46/11</f>
        <v>961161.27272727271</v>
      </c>
      <c r="I47" s="146">
        <f>+I46/11</f>
        <v>182620.81818181818</v>
      </c>
      <c r="J47" s="146">
        <f>+J46/11</f>
        <v>1143782.0909090908</v>
      </c>
      <c r="K47" s="145"/>
      <c r="L47" s="149">
        <f t="shared" ref="L47:AB47" si="19">+L46/11</f>
        <v>200496.27272727274</v>
      </c>
      <c r="M47" s="149">
        <f t="shared" si="19"/>
        <v>0</v>
      </c>
      <c r="N47" s="149">
        <f t="shared" si="19"/>
        <v>38146.090909090912</v>
      </c>
      <c r="O47" s="149">
        <f t="shared" si="19"/>
        <v>0</v>
      </c>
      <c r="P47" s="149">
        <f t="shared" si="19"/>
        <v>238642.36363636365</v>
      </c>
      <c r="Q47" s="160">
        <f t="shared" si="19"/>
        <v>0</v>
      </c>
      <c r="R47" s="160">
        <f t="shared" si="19"/>
        <v>0</v>
      </c>
      <c r="S47" s="150">
        <f t="shared" si="19"/>
        <v>0</v>
      </c>
      <c r="T47" s="150">
        <f t="shared" si="19"/>
        <v>0</v>
      </c>
      <c r="U47" s="150">
        <f t="shared" si="19"/>
        <v>0</v>
      </c>
      <c r="V47" s="147">
        <f t="shared" si="19"/>
        <v>8.136363636363636E-2</v>
      </c>
      <c r="W47" s="148">
        <f t="shared" si="19"/>
        <v>62987.128181818167</v>
      </c>
      <c r="X47" s="151">
        <f t="shared" si="19"/>
        <v>0</v>
      </c>
      <c r="Y47" s="151">
        <f t="shared" si="19"/>
        <v>0</v>
      </c>
      <c r="Z47" s="151">
        <f t="shared" si="19"/>
        <v>48000</v>
      </c>
      <c r="AA47" s="151">
        <f t="shared" si="19"/>
        <v>0</v>
      </c>
      <c r="AB47" s="151">
        <f t="shared" si="19"/>
        <v>5601.909090909091</v>
      </c>
    </row>
    <row r="48" spans="1:28" s="4" customFormat="1" x14ac:dyDescent="0.2">
      <c r="A48" s="2"/>
      <c r="B48" s="2"/>
      <c r="C48" s="2"/>
      <c r="D48" s="2"/>
      <c r="E48" s="2"/>
      <c r="F48" s="2"/>
      <c r="G48" s="2"/>
      <c r="Q48" s="2"/>
      <c r="R48" s="2"/>
      <c r="T48" s="2"/>
      <c r="U48" s="2"/>
    </row>
    <row r="49" spans="24:35" x14ac:dyDescent="0.2">
      <c r="X49" s="121"/>
      <c r="AB49" s="121"/>
      <c r="AD49" s="4"/>
      <c r="AF49" s="121"/>
      <c r="AI49" s="121">
        <v>-4.5</v>
      </c>
    </row>
    <row r="50" spans="24:35" x14ac:dyDescent="0.2">
      <c r="AD50" s="4"/>
    </row>
  </sheetData>
  <mergeCells count="12">
    <mergeCell ref="X32:AB32"/>
    <mergeCell ref="B3:D3"/>
    <mergeCell ref="E3:F3"/>
    <mergeCell ref="E4:F4"/>
    <mergeCell ref="E17:F17"/>
    <mergeCell ref="E27:F27"/>
    <mergeCell ref="A32:F32"/>
    <mergeCell ref="G32:K32"/>
    <mergeCell ref="L32:P32"/>
    <mergeCell ref="Q32:R32"/>
    <mergeCell ref="S32:U32"/>
    <mergeCell ref="V32:W32"/>
  </mergeCells>
  <pageMargins left="0.7" right="0.7" top="0.75" bottom="0.75" header="0.3" footer="0.3"/>
  <pageSetup orientation="portrait" horizontalDpi="200" verticalDpi="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2436B-DEA3-4AED-AFCF-D27F53C0E1F1}">
  <dimension ref="A1:AK53"/>
  <sheetViews>
    <sheetView zoomScale="117" zoomScaleNormal="117" workbookViewId="0">
      <pane ySplit="4" topLeftCell="A13" activePane="bottomLeft" state="frozen"/>
      <selection pane="bottomLeft" activeCell="O32" sqref="O32"/>
    </sheetView>
  </sheetViews>
  <sheetFormatPr baseColWidth="10" defaultColWidth="11.42578125" defaultRowHeight="11.25" x14ac:dyDescent="0.2"/>
  <cols>
    <col min="1" max="3" width="3.7109375" style="2" customWidth="1"/>
    <col min="4" max="4" width="5.7109375" style="2" customWidth="1"/>
    <col min="5" max="5" width="3.7109375" style="2" customWidth="1"/>
    <col min="6" max="10" width="9.28515625" style="2" customWidth="1"/>
    <col min="11" max="11" width="1.7109375" style="2" customWidth="1"/>
    <col min="12" max="17" width="9.28515625" style="2" customWidth="1"/>
    <col min="18" max="18" width="9.28515625" style="4" customWidth="1"/>
    <col min="19" max="28" width="9.28515625" style="2" customWidth="1"/>
    <col min="29" max="16384" width="11.42578125" style="2"/>
  </cols>
  <sheetData>
    <row r="1" spans="1:22" s="4" customFormat="1" x14ac:dyDescent="0.2">
      <c r="A1" s="174" t="s">
        <v>105</v>
      </c>
      <c r="B1" s="175"/>
      <c r="C1" s="175"/>
      <c r="D1" s="175"/>
      <c r="E1" s="176"/>
      <c r="F1" s="176"/>
      <c r="G1" s="37" t="s">
        <v>44</v>
      </c>
      <c r="H1" s="50"/>
      <c r="I1" s="176"/>
      <c r="J1" s="176"/>
      <c r="K1" s="177"/>
      <c r="L1" s="176"/>
      <c r="M1" s="178" t="s">
        <v>87</v>
      </c>
      <c r="N1" s="177">
        <v>2023</v>
      </c>
      <c r="O1" s="3"/>
      <c r="P1" s="3"/>
      <c r="Q1" s="3"/>
    </row>
    <row r="2" spans="1:22" s="4" customFormat="1" x14ac:dyDescent="0.2">
      <c r="A2" s="5" t="s">
        <v>3</v>
      </c>
      <c r="B2" s="6"/>
      <c r="C2" s="6"/>
      <c r="D2" s="6"/>
      <c r="E2" s="6"/>
      <c r="F2" s="7"/>
      <c r="G2" s="2"/>
      <c r="H2" s="2"/>
      <c r="I2" s="2"/>
      <c r="J2" s="8"/>
      <c r="K2" s="8"/>
      <c r="L2" s="3"/>
      <c r="M2" s="3"/>
      <c r="N2" s="3"/>
      <c r="O2" s="3"/>
      <c r="P2" s="3"/>
      <c r="Q2" s="3"/>
    </row>
    <row r="3" spans="1:22" s="4" customFormat="1" x14ac:dyDescent="0.2">
      <c r="A3" s="9" t="s">
        <v>41</v>
      </c>
      <c r="B3" s="189" t="s">
        <v>40</v>
      </c>
      <c r="C3" s="189"/>
      <c r="D3" s="189"/>
      <c r="E3" s="190" t="s">
        <v>82</v>
      </c>
      <c r="F3" s="190"/>
      <c r="G3" s="10"/>
      <c r="H3" s="10"/>
      <c r="I3" s="10"/>
      <c r="J3" s="10"/>
      <c r="K3" s="10"/>
      <c r="L3" s="11"/>
      <c r="M3" s="11"/>
      <c r="N3" s="11"/>
      <c r="O3" s="11"/>
      <c r="P3" s="11"/>
      <c r="Q3" s="11"/>
    </row>
    <row r="4" spans="1:22" s="4" customFormat="1" x14ac:dyDescent="0.2">
      <c r="A4" s="9" t="s">
        <v>42</v>
      </c>
      <c r="B4" s="12" t="s">
        <v>37</v>
      </c>
      <c r="C4" s="12" t="s">
        <v>38</v>
      </c>
      <c r="D4" s="12" t="s">
        <v>39</v>
      </c>
      <c r="E4" s="190" t="s">
        <v>81</v>
      </c>
      <c r="F4" s="190"/>
      <c r="G4" s="9"/>
      <c r="H4" s="9" t="s">
        <v>0</v>
      </c>
      <c r="I4" s="9"/>
      <c r="J4" s="9" t="s">
        <v>5</v>
      </c>
      <c r="K4" s="9"/>
      <c r="L4" s="9" t="s">
        <v>52</v>
      </c>
      <c r="M4" s="9" t="s">
        <v>1</v>
      </c>
      <c r="N4" s="9" t="s">
        <v>2</v>
      </c>
      <c r="O4" s="2"/>
      <c r="P4" s="2"/>
      <c r="Q4" s="2"/>
    </row>
    <row r="5" spans="1:22" s="4" customFormat="1" x14ac:dyDescent="0.2">
      <c r="A5" s="13">
        <v>1</v>
      </c>
      <c r="B5" s="13">
        <v>3</v>
      </c>
      <c r="C5" s="13">
        <v>10</v>
      </c>
      <c r="D5" s="14">
        <v>2023</v>
      </c>
      <c r="E5" s="14" t="s">
        <v>77</v>
      </c>
      <c r="F5" s="167">
        <v>50</v>
      </c>
      <c r="G5" s="15" t="s">
        <v>122</v>
      </c>
      <c r="H5" s="15"/>
      <c r="I5" s="15"/>
      <c r="J5" s="168">
        <v>99037000</v>
      </c>
      <c r="K5" s="14">
        <v>1</v>
      </c>
      <c r="L5" s="16">
        <v>275083</v>
      </c>
      <c r="M5" s="16">
        <f t="shared" ref="M5:M9" si="0">ROUND((L5*19%),0)</f>
        <v>52266</v>
      </c>
      <c r="N5" s="16">
        <f>ROUND((L5+M5),0)</f>
        <v>327349</v>
      </c>
      <c r="O5" s="2"/>
      <c r="P5" s="2"/>
      <c r="Q5" s="2"/>
    </row>
    <row r="6" spans="1:22" s="4" customFormat="1" x14ac:dyDescent="0.2">
      <c r="A6" s="13">
        <v>2</v>
      </c>
      <c r="B6" s="13">
        <v>4</v>
      </c>
      <c r="C6" s="13">
        <v>10</v>
      </c>
      <c r="D6" s="14">
        <v>2023</v>
      </c>
      <c r="E6" s="14" t="s">
        <v>77</v>
      </c>
      <c r="F6" s="167">
        <v>51</v>
      </c>
      <c r="G6" s="15" t="s">
        <v>93</v>
      </c>
      <c r="H6" s="15"/>
      <c r="I6" s="15"/>
      <c r="J6" s="168">
        <v>99147000</v>
      </c>
      <c r="K6" s="14" t="s">
        <v>94</v>
      </c>
      <c r="L6" s="16">
        <v>5095</v>
      </c>
      <c r="M6" s="16">
        <f t="shared" si="0"/>
        <v>968</v>
      </c>
      <c r="N6" s="16">
        <f t="shared" ref="N6:N9" si="1">ROUND((L6+M6),0)</f>
        <v>6063</v>
      </c>
      <c r="O6" s="2"/>
      <c r="P6" s="2"/>
      <c r="Q6" s="2"/>
    </row>
    <row r="7" spans="1:22" s="4" customFormat="1" x14ac:dyDescent="0.2">
      <c r="A7" s="13">
        <v>3</v>
      </c>
      <c r="B7" s="13">
        <v>4</v>
      </c>
      <c r="C7" s="13">
        <v>10</v>
      </c>
      <c r="D7" s="14">
        <v>2023</v>
      </c>
      <c r="E7" s="14" t="s">
        <v>77</v>
      </c>
      <c r="F7" s="167">
        <v>52</v>
      </c>
      <c r="G7" s="15" t="s">
        <v>93</v>
      </c>
      <c r="H7" s="15"/>
      <c r="I7" s="15"/>
      <c r="J7" s="168">
        <v>99147000</v>
      </c>
      <c r="K7" s="14" t="s">
        <v>94</v>
      </c>
      <c r="L7" s="16">
        <v>16625</v>
      </c>
      <c r="M7" s="16">
        <f t="shared" si="0"/>
        <v>3159</v>
      </c>
      <c r="N7" s="16">
        <f t="shared" si="1"/>
        <v>19784</v>
      </c>
      <c r="O7" s="2"/>
      <c r="P7" s="2"/>
      <c r="Q7" s="2"/>
      <c r="R7" s="161"/>
      <c r="S7" s="162"/>
      <c r="T7" s="162"/>
      <c r="U7" s="162"/>
      <c r="V7" s="8"/>
    </row>
    <row r="8" spans="1:22" s="4" customFormat="1" x14ac:dyDescent="0.2">
      <c r="A8" s="13">
        <v>4</v>
      </c>
      <c r="B8" s="13">
        <v>6</v>
      </c>
      <c r="C8" s="13">
        <v>10</v>
      </c>
      <c r="D8" s="14">
        <v>2023</v>
      </c>
      <c r="E8" s="14" t="s">
        <v>77</v>
      </c>
      <c r="F8" s="167">
        <v>53</v>
      </c>
      <c r="G8" s="15" t="s">
        <v>96</v>
      </c>
      <c r="H8" s="15"/>
      <c r="I8" s="15"/>
      <c r="J8" s="168">
        <v>76743492</v>
      </c>
      <c r="K8" s="14">
        <v>8</v>
      </c>
      <c r="L8" s="16">
        <v>32381</v>
      </c>
      <c r="M8" s="16">
        <f t="shared" si="0"/>
        <v>6152</v>
      </c>
      <c r="N8" s="16">
        <f t="shared" si="1"/>
        <v>38533</v>
      </c>
      <c r="O8" s="2"/>
      <c r="P8" s="2"/>
      <c r="Q8" s="2"/>
      <c r="R8" s="161"/>
      <c r="S8" s="162"/>
      <c r="T8" s="162"/>
      <c r="U8" s="162"/>
      <c r="V8" s="8"/>
    </row>
    <row r="9" spans="1:22" s="4" customFormat="1" x14ac:dyDescent="0.2">
      <c r="A9" s="13">
        <v>5</v>
      </c>
      <c r="B9" s="13">
        <v>20</v>
      </c>
      <c r="C9" s="13">
        <v>10</v>
      </c>
      <c r="D9" s="14">
        <v>2023</v>
      </c>
      <c r="E9" s="14" t="s">
        <v>77</v>
      </c>
      <c r="F9" s="167">
        <v>54</v>
      </c>
      <c r="G9" s="15" t="s">
        <v>96</v>
      </c>
      <c r="H9" s="15"/>
      <c r="I9" s="15"/>
      <c r="J9" s="168">
        <v>76743492</v>
      </c>
      <c r="K9" s="14">
        <v>8</v>
      </c>
      <c r="L9" s="16">
        <v>36114</v>
      </c>
      <c r="M9" s="16">
        <f t="shared" si="0"/>
        <v>6862</v>
      </c>
      <c r="N9" s="16">
        <f t="shared" si="1"/>
        <v>42976</v>
      </c>
      <c r="O9" s="2"/>
      <c r="P9" s="2"/>
      <c r="Q9" s="2"/>
      <c r="R9" s="161"/>
      <c r="S9" s="162"/>
      <c r="T9" s="162"/>
      <c r="U9" s="162"/>
      <c r="V9" s="8"/>
    </row>
    <row r="10" spans="1:22" s="4" customFormat="1" x14ac:dyDescent="0.2">
      <c r="A10" s="1" t="s">
        <v>51</v>
      </c>
      <c r="B10" s="17"/>
      <c r="C10" s="17"/>
      <c r="D10" s="18"/>
      <c r="E10" s="18"/>
      <c r="F10" s="19"/>
      <c r="G10" s="20"/>
      <c r="H10" s="20"/>
      <c r="I10" s="20"/>
      <c r="J10" s="18"/>
      <c r="K10" s="18"/>
      <c r="L10" s="21">
        <f>SUM(L5:L9)</f>
        <v>365298</v>
      </c>
      <c r="M10" s="21">
        <f>SUM(M5:M9)</f>
        <v>69407</v>
      </c>
      <c r="N10" s="21">
        <f>SUM(N5:N9)</f>
        <v>434705</v>
      </c>
      <c r="O10" s="2"/>
      <c r="P10" s="2"/>
    </row>
    <row r="11" spans="1:22" s="4" customFormat="1" x14ac:dyDescent="0.2">
      <c r="A11" s="22">
        <v>1</v>
      </c>
      <c r="B11" s="22"/>
      <c r="C11" s="22">
        <v>10</v>
      </c>
      <c r="D11" s="23">
        <v>2023</v>
      </c>
      <c r="E11" s="23" t="s">
        <v>78</v>
      </c>
      <c r="F11" s="22"/>
      <c r="G11" s="24"/>
      <c r="H11" s="24"/>
      <c r="I11" s="24"/>
      <c r="J11" s="169"/>
      <c r="K11" s="23"/>
      <c r="L11" s="170"/>
      <c r="M11" s="25">
        <f t="shared" ref="M11:M12" si="2">ROUND((L11*19%),0)</f>
        <v>0</v>
      </c>
      <c r="N11" s="25">
        <f>ROUND((L11+M11),0)</f>
        <v>0</v>
      </c>
      <c r="O11" s="2"/>
      <c r="P11" s="2"/>
      <c r="Q11" s="2"/>
    </row>
    <row r="12" spans="1:22" s="4" customFormat="1" x14ac:dyDescent="0.2">
      <c r="A12" s="22">
        <v>2</v>
      </c>
      <c r="B12" s="22"/>
      <c r="C12" s="22">
        <v>10</v>
      </c>
      <c r="D12" s="23">
        <v>2023</v>
      </c>
      <c r="E12" s="23" t="s">
        <v>78</v>
      </c>
      <c r="F12" s="22"/>
      <c r="G12" s="24"/>
      <c r="H12" s="24"/>
      <c r="I12" s="24"/>
      <c r="J12" s="169"/>
      <c r="K12" s="23"/>
      <c r="L12" s="170"/>
      <c r="M12" s="25">
        <f t="shared" si="2"/>
        <v>0</v>
      </c>
      <c r="N12" s="25">
        <f t="shared" ref="N12" si="3">ROUND((L12+M12),0)</f>
        <v>0</v>
      </c>
      <c r="O12" s="2"/>
      <c r="P12" s="2"/>
      <c r="Q12" s="2"/>
    </row>
    <row r="13" spans="1:22" s="4" customFormat="1" x14ac:dyDescent="0.2">
      <c r="A13" s="26" t="s">
        <v>50</v>
      </c>
      <c r="B13" s="27"/>
      <c r="C13" s="27"/>
      <c r="D13" s="28"/>
      <c r="E13" s="28"/>
      <c r="F13" s="29"/>
      <c r="G13" s="30"/>
      <c r="H13" s="30"/>
      <c r="I13" s="30"/>
      <c r="J13" s="28"/>
      <c r="K13" s="28"/>
      <c r="L13" s="31">
        <f>SUM(L11:L12)</f>
        <v>0</v>
      </c>
      <c r="M13" s="31">
        <f>SUM(M11:M12)</f>
        <v>0</v>
      </c>
      <c r="N13" s="31">
        <f>SUM(N11:N12)</f>
        <v>0</v>
      </c>
      <c r="O13" s="30"/>
      <c r="P13" s="30"/>
      <c r="Q13" s="2"/>
      <c r="R13" s="2"/>
      <c r="S13" s="2"/>
    </row>
    <row r="14" spans="1:22" s="4" customFormat="1" x14ac:dyDescent="0.2">
      <c r="A14" s="32">
        <v>1</v>
      </c>
      <c r="B14" s="32"/>
      <c r="C14" s="32">
        <v>10</v>
      </c>
      <c r="D14" s="33">
        <v>2023</v>
      </c>
      <c r="E14" s="33" t="s">
        <v>79</v>
      </c>
      <c r="F14" s="34"/>
      <c r="G14" s="35"/>
      <c r="H14" s="35"/>
      <c r="I14" s="35"/>
      <c r="J14" s="171"/>
      <c r="K14" s="33"/>
      <c r="L14" s="36"/>
      <c r="M14" s="36">
        <f t="shared" ref="M14:M15" si="4">ROUND((L14*19%),0)</f>
        <v>0</v>
      </c>
      <c r="N14" s="36">
        <f t="shared" ref="N14:N15" si="5">SUM(L14:M14)</f>
        <v>0</v>
      </c>
      <c r="O14" s="30"/>
      <c r="P14" s="30"/>
      <c r="R14" s="2"/>
    </row>
    <row r="15" spans="1:22" s="4" customFormat="1" x14ac:dyDescent="0.2">
      <c r="A15" s="32">
        <v>2</v>
      </c>
      <c r="B15" s="32"/>
      <c r="C15" s="32">
        <v>10</v>
      </c>
      <c r="D15" s="33">
        <v>2023</v>
      </c>
      <c r="E15" s="33" t="s">
        <v>79</v>
      </c>
      <c r="F15" s="34"/>
      <c r="G15" s="35"/>
      <c r="H15" s="35"/>
      <c r="I15" s="35"/>
      <c r="J15" s="33"/>
      <c r="K15" s="33"/>
      <c r="L15" s="36"/>
      <c r="M15" s="36">
        <f t="shared" si="4"/>
        <v>0</v>
      </c>
      <c r="N15" s="36">
        <f t="shared" si="5"/>
        <v>0</v>
      </c>
      <c r="O15" s="30"/>
      <c r="P15" s="30"/>
      <c r="Q15" s="2"/>
    </row>
    <row r="16" spans="1:22" s="4" customFormat="1" x14ac:dyDescent="0.2">
      <c r="A16" s="37" t="s">
        <v>65</v>
      </c>
      <c r="B16" s="38"/>
      <c r="C16" s="38"/>
      <c r="D16" s="39"/>
      <c r="E16" s="39"/>
      <c r="F16" s="40"/>
      <c r="G16" s="41"/>
      <c r="H16" s="41"/>
      <c r="I16" s="41"/>
      <c r="J16" s="39"/>
      <c r="K16" s="39"/>
      <c r="L16" s="42">
        <f>SUM(L14:L15)</f>
        <v>0</v>
      </c>
      <c r="M16" s="42">
        <f t="shared" ref="M16:N16" si="6">SUM(M14:M15)</f>
        <v>0</v>
      </c>
      <c r="N16" s="42">
        <f t="shared" si="6"/>
        <v>0</v>
      </c>
      <c r="O16" s="30"/>
      <c r="P16" s="30"/>
      <c r="Q16" s="2"/>
    </row>
    <row r="17" spans="1:37" s="4" customFormat="1" x14ac:dyDescent="0.2">
      <c r="A17" s="43" t="s">
        <v>16</v>
      </c>
      <c r="B17" s="44"/>
      <c r="C17" s="44"/>
      <c r="D17" s="44"/>
      <c r="E17" s="44"/>
      <c r="F17" s="45"/>
      <c r="G17" s="45"/>
      <c r="H17" s="45"/>
      <c r="I17" s="45"/>
      <c r="J17" s="46"/>
      <c r="K17" s="46"/>
      <c r="L17" s="47">
        <f>+L10+L13+L16</f>
        <v>365298</v>
      </c>
      <c r="M17" s="47">
        <f>+M10+M13+M16</f>
        <v>69407</v>
      </c>
      <c r="N17" s="47">
        <f>+N10+N13+N16</f>
        <v>434705</v>
      </c>
      <c r="O17" s="2"/>
      <c r="P17" s="2"/>
      <c r="Q17" s="2"/>
      <c r="S17" s="48"/>
      <c r="T17" s="49"/>
      <c r="U17" s="50"/>
    </row>
    <row r="18" spans="1:37" x14ac:dyDescent="0.2">
      <c r="S18" s="48"/>
      <c r="T18" s="49"/>
      <c r="U18" s="50"/>
    </row>
    <row r="19" spans="1:37" s="4" customFormat="1" x14ac:dyDescent="0.2">
      <c r="A19" s="51" t="s">
        <v>6</v>
      </c>
      <c r="B19" s="52"/>
      <c r="C19" s="52"/>
      <c r="D19" s="52"/>
      <c r="E19" s="53"/>
      <c r="F19" s="53"/>
      <c r="G19" s="2"/>
      <c r="H19" s="2"/>
      <c r="I19" s="2"/>
      <c r="J19" s="8"/>
      <c r="K19" s="8"/>
      <c r="L19" s="54"/>
      <c r="M19" s="3"/>
      <c r="N19" s="3"/>
      <c r="O19" s="3"/>
      <c r="P19" s="3"/>
      <c r="Q19" s="3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x14ac:dyDescent="0.2">
      <c r="A20" s="55" t="s">
        <v>41</v>
      </c>
      <c r="B20" s="56" t="s">
        <v>37</v>
      </c>
      <c r="C20" s="56" t="s">
        <v>38</v>
      </c>
      <c r="D20" s="56" t="s">
        <v>39</v>
      </c>
      <c r="E20" s="191" t="s">
        <v>71</v>
      </c>
      <c r="F20" s="191"/>
      <c r="G20" s="55"/>
      <c r="H20" s="55" t="s">
        <v>4</v>
      </c>
      <c r="I20" s="55"/>
      <c r="J20" s="55" t="s">
        <v>5</v>
      </c>
      <c r="K20" s="55"/>
      <c r="L20" s="55" t="s">
        <v>52</v>
      </c>
      <c r="M20" s="55" t="s">
        <v>35</v>
      </c>
      <c r="N20" s="55" t="s">
        <v>1</v>
      </c>
      <c r="O20" s="55" t="s">
        <v>61</v>
      </c>
      <c r="P20" s="55" t="s">
        <v>2</v>
      </c>
      <c r="R20" s="180"/>
      <c r="S20" s="48"/>
      <c r="T20" s="49"/>
      <c r="U20" s="50"/>
    </row>
    <row r="21" spans="1:37" x14ac:dyDescent="0.2">
      <c r="A21" s="57">
        <v>1</v>
      </c>
      <c r="B21" s="58">
        <v>1</v>
      </c>
      <c r="C21" s="58">
        <v>10</v>
      </c>
      <c r="D21" s="58">
        <v>2023</v>
      </c>
      <c r="E21" s="59" t="s">
        <v>77</v>
      </c>
      <c r="F21" s="59">
        <v>69390998</v>
      </c>
      <c r="G21" s="53" t="s">
        <v>104</v>
      </c>
      <c r="H21" s="60"/>
      <c r="I21" s="53"/>
      <c r="J21" s="61">
        <v>76124890</v>
      </c>
      <c r="K21" s="59">
        <v>1</v>
      </c>
      <c r="L21" s="62">
        <v>81427</v>
      </c>
      <c r="M21" s="62">
        <v>0</v>
      </c>
      <c r="N21" s="62">
        <v>15471</v>
      </c>
      <c r="O21" s="62">
        <v>0</v>
      </c>
      <c r="P21" s="62">
        <f>SUM(L21:O21)</f>
        <v>96898</v>
      </c>
      <c r="Q21" s="121"/>
      <c r="R21" s="181"/>
      <c r="T21" s="54"/>
      <c r="V21" s="166"/>
    </row>
    <row r="22" spans="1:37" x14ac:dyDescent="0.2">
      <c r="A22" s="57">
        <v>2</v>
      </c>
      <c r="B22" s="58">
        <v>25</v>
      </c>
      <c r="C22" s="58">
        <v>10</v>
      </c>
      <c r="D22" s="58">
        <v>2023</v>
      </c>
      <c r="E22" s="59" t="s">
        <v>77</v>
      </c>
      <c r="F22" s="59">
        <v>59918</v>
      </c>
      <c r="G22" s="53" t="s">
        <v>109</v>
      </c>
      <c r="H22" s="60"/>
      <c r="I22" s="53"/>
      <c r="J22" s="61">
        <v>77617950</v>
      </c>
      <c r="K22" s="59">
        <v>7</v>
      </c>
      <c r="L22" s="62">
        <v>28440</v>
      </c>
      <c r="M22" s="62">
        <v>0</v>
      </c>
      <c r="N22" s="62">
        <v>5404</v>
      </c>
      <c r="O22" s="62">
        <v>0</v>
      </c>
      <c r="P22" s="62">
        <f t="shared" ref="P22" si="7">SUM(L22:O22)</f>
        <v>33844</v>
      </c>
      <c r="R22" s="181"/>
      <c r="S22" s="166"/>
      <c r="T22" s="54"/>
      <c r="V22" s="8"/>
    </row>
    <row r="23" spans="1:37" x14ac:dyDescent="0.2">
      <c r="A23" s="1" t="s">
        <v>49</v>
      </c>
      <c r="B23" s="17"/>
      <c r="C23" s="17"/>
      <c r="D23" s="17"/>
      <c r="E23" s="65"/>
      <c r="F23" s="19"/>
      <c r="G23" s="20"/>
      <c r="H23" s="20"/>
      <c r="I23" s="20"/>
      <c r="J23" s="18"/>
      <c r="K23" s="18"/>
      <c r="L23" s="21">
        <f>SUM(L21:L22)</f>
        <v>109867</v>
      </c>
      <c r="M23" s="21">
        <f>SUM(M21:M22)</f>
        <v>0</v>
      </c>
      <c r="N23" s="21">
        <f>SUM(N21:N22)</f>
        <v>20875</v>
      </c>
      <c r="O23" s="21">
        <f>SUM(O21:O22)</f>
        <v>0</v>
      </c>
      <c r="P23" s="21">
        <f>SUM(P21:P22)</f>
        <v>130742</v>
      </c>
      <c r="R23" s="182"/>
      <c r="S23" s="54"/>
      <c r="T23" s="180"/>
      <c r="U23" s="172"/>
      <c r="V23" s="153"/>
      <c r="W23" s="153"/>
    </row>
    <row r="24" spans="1:37" x14ac:dyDescent="0.2">
      <c r="A24" s="66">
        <v>1</v>
      </c>
      <c r="B24" s="66"/>
      <c r="C24" s="66">
        <v>10</v>
      </c>
      <c r="D24" s="66">
        <v>2023</v>
      </c>
      <c r="E24" s="67" t="s">
        <v>78</v>
      </c>
      <c r="F24" s="68"/>
      <c r="G24" s="69"/>
      <c r="H24" s="70"/>
      <c r="I24" s="69"/>
      <c r="J24" s="71"/>
      <c r="K24" s="72"/>
      <c r="L24" s="73"/>
      <c r="M24" s="74">
        <v>0</v>
      </c>
      <c r="N24" s="74">
        <f t="shared" ref="N24:N25" si="8">ROUND((L24*19%),0)</f>
        <v>0</v>
      </c>
      <c r="O24" s="74">
        <v>0</v>
      </c>
      <c r="P24" s="74">
        <f>SUM(L24:O24)</f>
        <v>0</v>
      </c>
      <c r="R24" s="179"/>
      <c r="S24" s="4"/>
      <c r="T24" s="4"/>
      <c r="U24" s="172"/>
      <c r="V24" s="153"/>
      <c r="W24" s="153"/>
    </row>
    <row r="25" spans="1:37" x14ac:dyDescent="0.2">
      <c r="A25" s="66">
        <v>2</v>
      </c>
      <c r="B25" s="66"/>
      <c r="C25" s="66">
        <v>10</v>
      </c>
      <c r="D25" s="66">
        <v>2023</v>
      </c>
      <c r="E25" s="67" t="s">
        <v>78</v>
      </c>
      <c r="F25" s="68"/>
      <c r="G25" s="69"/>
      <c r="H25" s="70"/>
      <c r="I25" s="69"/>
      <c r="J25" s="71"/>
      <c r="K25" s="72"/>
      <c r="L25" s="74"/>
      <c r="M25" s="74">
        <v>0</v>
      </c>
      <c r="N25" s="74">
        <f t="shared" si="8"/>
        <v>0</v>
      </c>
      <c r="O25" s="74">
        <v>0</v>
      </c>
      <c r="P25" s="74">
        <f>SUM(L25:O25)</f>
        <v>0</v>
      </c>
      <c r="R25" s="163"/>
      <c r="T25" s="4"/>
      <c r="U25" s="172"/>
      <c r="V25" s="153"/>
      <c r="W25" s="153"/>
    </row>
    <row r="26" spans="1:37" x14ac:dyDescent="0.2">
      <c r="A26" s="26" t="s">
        <v>48</v>
      </c>
      <c r="B26" s="27"/>
      <c r="C26" s="27"/>
      <c r="D26" s="27"/>
      <c r="E26" s="75"/>
      <c r="F26" s="29"/>
      <c r="G26" s="30"/>
      <c r="H26" s="30"/>
      <c r="I26" s="30"/>
      <c r="J26" s="28"/>
      <c r="K26" s="28"/>
      <c r="L26" s="31">
        <f>SUM(L24:L25)</f>
        <v>0</v>
      </c>
      <c r="M26" s="31">
        <f>SUM(M24:M25)</f>
        <v>0</v>
      </c>
      <c r="N26" s="31">
        <f>SUM(N24:N25)</f>
        <v>0</v>
      </c>
      <c r="O26" s="31">
        <f>SUM(O24:O25)</f>
        <v>0</v>
      </c>
      <c r="P26" s="31">
        <f>SUM(P24:P25)</f>
        <v>0</v>
      </c>
      <c r="R26" s="2"/>
      <c r="T26" s="173"/>
      <c r="U26" s="173"/>
      <c r="V26" s="153"/>
      <c r="W26" s="153"/>
    </row>
    <row r="27" spans="1:37" x14ac:dyDescent="0.2">
      <c r="A27" s="76" t="s">
        <v>17</v>
      </c>
      <c r="B27" s="56"/>
      <c r="C27" s="56"/>
      <c r="D27" s="56"/>
      <c r="E27" s="56"/>
      <c r="F27" s="77"/>
      <c r="G27" s="77"/>
      <c r="H27" s="77"/>
      <c r="I27" s="77"/>
      <c r="J27" s="78"/>
      <c r="K27" s="78"/>
      <c r="L27" s="79">
        <f>+L23+L26</f>
        <v>109867</v>
      </c>
      <c r="M27" s="79">
        <f>+M23-M26</f>
        <v>0</v>
      </c>
      <c r="N27" s="79">
        <f>N23+N26</f>
        <v>20875</v>
      </c>
      <c r="O27" s="79">
        <f>+O23-O26</f>
        <v>0</v>
      </c>
      <c r="P27" s="79">
        <f>+P23+P26</f>
        <v>130742</v>
      </c>
      <c r="R27" s="2"/>
      <c r="S27" s="4"/>
      <c r="T27" s="173"/>
      <c r="U27" s="173"/>
      <c r="V27" s="153"/>
      <c r="W27" s="153"/>
    </row>
    <row r="28" spans="1:37" x14ac:dyDescent="0.2">
      <c r="R28" s="2"/>
      <c r="T28" s="173"/>
      <c r="U28" s="173"/>
      <c r="V28" s="153"/>
      <c r="W28" s="154"/>
    </row>
    <row r="29" spans="1:37" x14ac:dyDescent="0.2">
      <c r="A29" s="125" t="s">
        <v>7</v>
      </c>
      <c r="B29" s="126"/>
      <c r="C29" s="126"/>
      <c r="D29" s="126"/>
      <c r="E29" s="126"/>
      <c r="F29" s="127"/>
      <c r="J29" s="8"/>
      <c r="K29" s="8"/>
      <c r="L29" s="3"/>
      <c r="M29" s="3"/>
      <c r="N29" s="3"/>
      <c r="O29" s="3"/>
      <c r="P29" s="3"/>
      <c r="Q29" s="3"/>
      <c r="R29" s="2"/>
      <c r="T29" s="173"/>
      <c r="U29" s="4"/>
      <c r="V29" s="156"/>
      <c r="W29" s="155"/>
    </row>
    <row r="30" spans="1:37" x14ac:dyDescent="0.2">
      <c r="A30" s="128" t="s">
        <v>41</v>
      </c>
      <c r="B30" s="129" t="s">
        <v>70</v>
      </c>
      <c r="C30" s="129" t="s">
        <v>38</v>
      </c>
      <c r="D30" s="129" t="s">
        <v>39</v>
      </c>
      <c r="E30" s="192" t="s">
        <v>43</v>
      </c>
      <c r="F30" s="192"/>
      <c r="G30" s="128"/>
      <c r="H30" s="128" t="s">
        <v>8</v>
      </c>
      <c r="I30" s="128"/>
      <c r="J30" s="128" t="s">
        <v>5</v>
      </c>
      <c r="K30" s="128"/>
      <c r="L30" s="128" t="s">
        <v>9</v>
      </c>
      <c r="M30" s="128" t="s">
        <v>97</v>
      </c>
      <c r="N30" s="128" t="s">
        <v>10</v>
      </c>
      <c r="R30" s="20"/>
      <c r="S30" s="20"/>
      <c r="T30" s="180"/>
      <c r="U30" s="4"/>
      <c r="V30" s="156"/>
      <c r="W30" s="156"/>
    </row>
    <row r="31" spans="1:37" x14ac:dyDescent="0.2">
      <c r="A31" s="130">
        <v>1</v>
      </c>
      <c r="B31" s="131"/>
      <c r="C31" s="131">
        <v>10</v>
      </c>
      <c r="D31" s="131">
        <v>2023</v>
      </c>
      <c r="E31" s="132" t="s">
        <v>80</v>
      </c>
      <c r="F31" s="133"/>
      <c r="G31" s="137"/>
      <c r="H31" s="138"/>
      <c r="I31" s="138"/>
      <c r="J31" s="139"/>
      <c r="K31" s="132"/>
      <c r="L31" s="140"/>
      <c r="M31" s="141">
        <f>+L31*0.13</f>
        <v>0</v>
      </c>
      <c r="N31" s="141">
        <f>+L31-M31</f>
        <v>0</v>
      </c>
      <c r="R31" s="2"/>
      <c r="S31" s="4"/>
      <c r="T31" s="173"/>
      <c r="U31" s="4"/>
      <c r="V31" s="156"/>
      <c r="W31" s="155"/>
    </row>
    <row r="32" spans="1:37" x14ac:dyDescent="0.2">
      <c r="A32" s="130">
        <v>2</v>
      </c>
      <c r="B32" s="131"/>
      <c r="C32" s="131">
        <v>10</v>
      </c>
      <c r="D32" s="131">
        <v>2023</v>
      </c>
      <c r="E32" s="132" t="s">
        <v>80</v>
      </c>
      <c r="F32" s="133"/>
      <c r="G32" s="137"/>
      <c r="H32" s="138"/>
      <c r="I32" s="138"/>
      <c r="J32" s="139"/>
      <c r="K32" s="132"/>
      <c r="L32" s="140"/>
      <c r="M32" s="141">
        <f>+L32*0.13</f>
        <v>0</v>
      </c>
      <c r="N32" s="141">
        <f t="shared" ref="N32" si="9">+L32-M32</f>
        <v>0</v>
      </c>
      <c r="R32" s="41"/>
      <c r="S32" s="180"/>
      <c r="T32" s="174"/>
      <c r="U32" s="173"/>
      <c r="V32" s="153"/>
      <c r="W32" s="154"/>
    </row>
    <row r="33" spans="1:28" x14ac:dyDescent="0.2">
      <c r="A33" s="134" t="s">
        <v>18</v>
      </c>
      <c r="B33" s="135"/>
      <c r="C33" s="135"/>
      <c r="D33" s="135"/>
      <c r="E33" s="129"/>
      <c r="F33" s="136"/>
      <c r="G33" s="136"/>
      <c r="H33" s="136"/>
      <c r="I33" s="136"/>
      <c r="J33" s="142"/>
      <c r="K33" s="142"/>
      <c r="L33" s="143">
        <f>SUM(L31:L32)</f>
        <v>0</v>
      </c>
      <c r="M33" s="143">
        <f>SUM(M31:M32)</f>
        <v>0</v>
      </c>
      <c r="N33" s="143">
        <f>SUM(N31:N32)</f>
        <v>0</v>
      </c>
      <c r="R33" s="2"/>
      <c r="T33" s="4"/>
      <c r="U33" s="4"/>
      <c r="V33" s="156"/>
      <c r="W33" s="155"/>
    </row>
    <row r="35" spans="1:28" x14ac:dyDescent="0.2">
      <c r="A35" s="193" t="s">
        <v>121</v>
      </c>
      <c r="B35" s="193"/>
      <c r="C35" s="193"/>
      <c r="D35" s="193"/>
      <c r="E35" s="193"/>
      <c r="F35" s="193"/>
      <c r="G35" s="183" t="s">
        <v>55</v>
      </c>
      <c r="H35" s="183"/>
      <c r="I35" s="183"/>
      <c r="J35" s="183"/>
      <c r="K35" s="183"/>
      <c r="L35" s="184" t="s">
        <v>83</v>
      </c>
      <c r="M35" s="184"/>
      <c r="N35" s="184"/>
      <c r="O35" s="184"/>
      <c r="P35" s="184"/>
      <c r="Q35" s="185" t="s">
        <v>75</v>
      </c>
      <c r="R35" s="185"/>
      <c r="S35" s="186" t="s">
        <v>73</v>
      </c>
      <c r="T35" s="186"/>
      <c r="U35" s="186"/>
      <c r="V35" s="187" t="s">
        <v>12</v>
      </c>
      <c r="W35" s="187"/>
      <c r="X35" s="188" t="s">
        <v>69</v>
      </c>
      <c r="Y35" s="188"/>
      <c r="Z35" s="188"/>
      <c r="AA35" s="188"/>
      <c r="AB35" s="188"/>
    </row>
    <row r="36" spans="1:28" x14ac:dyDescent="0.2">
      <c r="A36" s="83" t="s">
        <v>11</v>
      </c>
      <c r="B36" s="84" t="s">
        <v>47</v>
      </c>
      <c r="C36" s="80"/>
      <c r="D36" s="80"/>
      <c r="E36" s="80"/>
      <c r="F36" s="81">
        <f>+L17</f>
        <v>365298</v>
      </c>
      <c r="G36" s="82" t="s">
        <v>53</v>
      </c>
      <c r="H36" s="85" t="s">
        <v>52</v>
      </c>
      <c r="I36" s="85" t="s">
        <v>1</v>
      </c>
      <c r="J36" s="85" t="s">
        <v>2</v>
      </c>
      <c r="K36" s="86"/>
      <c r="L36" s="88" t="s">
        <v>52</v>
      </c>
      <c r="M36" s="89" t="s">
        <v>35</v>
      </c>
      <c r="N36" s="88" t="s">
        <v>1</v>
      </c>
      <c r="O36" s="89" t="s">
        <v>67</v>
      </c>
      <c r="P36" s="89" t="s">
        <v>2</v>
      </c>
      <c r="Q36" s="157" t="s">
        <v>76</v>
      </c>
      <c r="R36" s="157" t="s">
        <v>60</v>
      </c>
      <c r="S36" s="90" t="s">
        <v>9</v>
      </c>
      <c r="T36" s="91" t="s">
        <v>74</v>
      </c>
      <c r="U36" s="92" t="s">
        <v>10</v>
      </c>
      <c r="V36" s="87" t="s">
        <v>56</v>
      </c>
      <c r="W36" s="87" t="s">
        <v>57</v>
      </c>
      <c r="X36" s="122" t="s">
        <v>58</v>
      </c>
      <c r="Y36" s="122" t="s">
        <v>68</v>
      </c>
      <c r="Z36" s="122" t="s">
        <v>62</v>
      </c>
      <c r="AA36" s="122" t="s">
        <v>72</v>
      </c>
      <c r="AB36" s="122" t="s">
        <v>59</v>
      </c>
    </row>
    <row r="37" spans="1:28" x14ac:dyDescent="0.2">
      <c r="A37" s="83" t="s">
        <v>11</v>
      </c>
      <c r="B37" s="84" t="s">
        <v>13</v>
      </c>
      <c r="C37" s="84"/>
      <c r="D37" s="84"/>
      <c r="E37" s="84"/>
      <c r="F37" s="81">
        <f>+M10</f>
        <v>69407</v>
      </c>
      <c r="G37" s="86" t="s">
        <v>22</v>
      </c>
      <c r="H37" s="93">
        <v>362422</v>
      </c>
      <c r="I37" s="93">
        <f t="shared" ref="I37:I48" si="10">ROUND((H37*0.19),0)</f>
        <v>68860</v>
      </c>
      <c r="J37" s="93">
        <f>SUM(H37:I37)</f>
        <v>431282</v>
      </c>
      <c r="K37" s="86"/>
      <c r="L37" s="96">
        <v>206080</v>
      </c>
      <c r="M37" s="96">
        <v>0</v>
      </c>
      <c r="N37" s="96">
        <v>39155</v>
      </c>
      <c r="O37" s="97">
        <v>0</v>
      </c>
      <c r="P37" s="97">
        <f>SUM(L37:O37)</f>
        <v>245235</v>
      </c>
      <c r="Q37" s="158">
        <v>0</v>
      </c>
      <c r="R37" s="158">
        <v>0</v>
      </c>
      <c r="S37" s="98">
        <v>0</v>
      </c>
      <c r="T37" s="98">
        <f>+S37*0.13</f>
        <v>0</v>
      </c>
      <c r="U37" s="98">
        <f t="shared" ref="U37:U48" si="11">+S37-T37</f>
        <v>0</v>
      </c>
      <c r="V37" s="94">
        <v>0.1</v>
      </c>
      <c r="W37" s="95">
        <f t="shared" ref="W37:W48" si="12">ROUND((H37*V37),2)</f>
        <v>36242.199999999997</v>
      </c>
      <c r="X37" s="123">
        <v>0</v>
      </c>
      <c r="Y37" s="123">
        <v>0</v>
      </c>
      <c r="Z37" s="123">
        <v>48000</v>
      </c>
      <c r="AA37" s="123">
        <v>0</v>
      </c>
      <c r="AB37" s="123">
        <v>30084</v>
      </c>
    </row>
    <row r="38" spans="1:28" x14ac:dyDescent="0.2">
      <c r="A38" s="83" t="s">
        <v>11</v>
      </c>
      <c r="B38" s="99" t="s">
        <v>45</v>
      </c>
      <c r="C38" s="84"/>
      <c r="D38" s="84"/>
      <c r="E38" s="84"/>
      <c r="F38" s="100">
        <f>+M13</f>
        <v>0</v>
      </c>
      <c r="G38" s="86" t="s">
        <v>23</v>
      </c>
      <c r="H38" s="93">
        <v>727324</v>
      </c>
      <c r="I38" s="93">
        <v>138191</v>
      </c>
      <c r="J38" s="93">
        <f t="shared" ref="J38:J48" si="13">SUM(H38:I38)</f>
        <v>865515</v>
      </c>
      <c r="K38" s="86"/>
      <c r="L38" s="96">
        <v>24120</v>
      </c>
      <c r="M38" s="96">
        <v>0</v>
      </c>
      <c r="N38" s="96">
        <v>4583</v>
      </c>
      <c r="O38" s="97">
        <v>0</v>
      </c>
      <c r="P38" s="97">
        <f t="shared" ref="P38:P48" si="14">SUM(L38:O38)</f>
        <v>28703</v>
      </c>
      <c r="Q38" s="158">
        <v>0</v>
      </c>
      <c r="R38" s="158">
        <v>0</v>
      </c>
      <c r="S38" s="98">
        <v>0</v>
      </c>
      <c r="T38" s="98">
        <f t="shared" ref="T38:T48" si="15">+S38*0.13</f>
        <v>0</v>
      </c>
      <c r="U38" s="98">
        <f t="shared" si="11"/>
        <v>0</v>
      </c>
      <c r="V38" s="94">
        <v>0.1</v>
      </c>
      <c r="W38" s="95">
        <f t="shared" si="12"/>
        <v>72732.399999999994</v>
      </c>
      <c r="X38" s="123">
        <v>0</v>
      </c>
      <c r="Y38" s="123">
        <v>0</v>
      </c>
      <c r="Z38" s="123">
        <v>48000</v>
      </c>
      <c r="AA38" s="123">
        <v>0</v>
      </c>
      <c r="AB38" s="123">
        <v>0</v>
      </c>
    </row>
    <row r="39" spans="1:28" s="4" customFormat="1" x14ac:dyDescent="0.2">
      <c r="A39" s="83" t="s">
        <v>11</v>
      </c>
      <c r="B39" s="101" t="s">
        <v>64</v>
      </c>
      <c r="C39" s="101"/>
      <c r="D39" s="84"/>
      <c r="E39" s="84"/>
      <c r="F39" s="102">
        <v>0</v>
      </c>
      <c r="G39" s="86" t="s">
        <v>24</v>
      </c>
      <c r="H39" s="93">
        <v>3119121</v>
      </c>
      <c r="I39" s="93">
        <f t="shared" si="10"/>
        <v>592633</v>
      </c>
      <c r="J39" s="93">
        <f t="shared" si="13"/>
        <v>3711754</v>
      </c>
      <c r="K39" s="86"/>
      <c r="L39" s="96">
        <v>25050</v>
      </c>
      <c r="M39" s="96">
        <v>0</v>
      </c>
      <c r="N39" s="96">
        <v>4760</v>
      </c>
      <c r="O39" s="97">
        <v>0</v>
      </c>
      <c r="P39" s="97">
        <f t="shared" si="14"/>
        <v>29810</v>
      </c>
      <c r="Q39" s="158">
        <v>0</v>
      </c>
      <c r="R39" s="158">
        <v>0</v>
      </c>
      <c r="S39" s="98">
        <v>0</v>
      </c>
      <c r="T39" s="98">
        <f t="shared" si="15"/>
        <v>0</v>
      </c>
      <c r="U39" s="98">
        <f t="shared" si="11"/>
        <v>0</v>
      </c>
      <c r="V39" s="94">
        <v>0.1</v>
      </c>
      <c r="W39" s="95">
        <f t="shared" si="12"/>
        <v>311912.09999999998</v>
      </c>
      <c r="X39" s="123">
        <v>0</v>
      </c>
      <c r="Y39" s="123">
        <v>0</v>
      </c>
      <c r="Z39" s="123">
        <v>48000</v>
      </c>
      <c r="AA39" s="123">
        <v>0</v>
      </c>
      <c r="AB39" s="123">
        <v>0</v>
      </c>
    </row>
    <row r="40" spans="1:28" s="4" customFormat="1" x14ac:dyDescent="0.2">
      <c r="A40" s="83" t="s">
        <v>11</v>
      </c>
      <c r="B40" s="84" t="s">
        <v>63</v>
      </c>
      <c r="C40" s="84"/>
      <c r="D40" s="84"/>
      <c r="E40" s="84"/>
      <c r="F40" s="103">
        <f>SUM(F37:F38)</f>
        <v>69407</v>
      </c>
      <c r="G40" s="86" t="s">
        <v>25</v>
      </c>
      <c r="H40" s="93">
        <v>548065</v>
      </c>
      <c r="I40" s="93">
        <f t="shared" si="10"/>
        <v>104132</v>
      </c>
      <c r="J40" s="93">
        <f t="shared" si="13"/>
        <v>652197</v>
      </c>
      <c r="K40" s="93"/>
      <c r="L40" s="96">
        <v>93368</v>
      </c>
      <c r="M40" s="96">
        <v>0</v>
      </c>
      <c r="N40" s="96">
        <v>18310</v>
      </c>
      <c r="O40" s="97">
        <v>0</v>
      </c>
      <c r="P40" s="97">
        <f t="shared" si="14"/>
        <v>111678</v>
      </c>
      <c r="Q40" s="158">
        <v>0</v>
      </c>
      <c r="R40" s="158">
        <v>0</v>
      </c>
      <c r="S40" s="98">
        <v>0</v>
      </c>
      <c r="T40" s="98">
        <f t="shared" si="15"/>
        <v>0</v>
      </c>
      <c r="U40" s="98">
        <f t="shared" si="11"/>
        <v>0</v>
      </c>
      <c r="V40" s="94">
        <v>0.1</v>
      </c>
      <c r="W40" s="95">
        <f t="shared" si="12"/>
        <v>54806.5</v>
      </c>
      <c r="X40" s="123">
        <v>0</v>
      </c>
      <c r="Y40" s="123">
        <v>0</v>
      </c>
      <c r="Z40" s="123">
        <v>48000</v>
      </c>
      <c r="AA40" s="123">
        <v>0</v>
      </c>
      <c r="AB40" s="123">
        <v>0</v>
      </c>
    </row>
    <row r="41" spans="1:28" s="4" customFormat="1" x14ac:dyDescent="0.2">
      <c r="A41" s="83" t="s">
        <v>11</v>
      </c>
      <c r="B41" s="99" t="s">
        <v>14</v>
      </c>
      <c r="C41" s="84"/>
      <c r="D41" s="84"/>
      <c r="E41" s="84"/>
      <c r="F41" s="100">
        <f>-N23</f>
        <v>-20875</v>
      </c>
      <c r="G41" s="86" t="s">
        <v>26</v>
      </c>
      <c r="H41" s="93">
        <v>238087</v>
      </c>
      <c r="I41" s="93">
        <f t="shared" si="10"/>
        <v>45237</v>
      </c>
      <c r="J41" s="93">
        <f t="shared" si="13"/>
        <v>283324</v>
      </c>
      <c r="K41" s="93"/>
      <c r="L41" s="96">
        <v>111383</v>
      </c>
      <c r="M41" s="96">
        <v>0</v>
      </c>
      <c r="N41" s="96">
        <v>21163</v>
      </c>
      <c r="O41" s="97">
        <v>0</v>
      </c>
      <c r="P41" s="97">
        <f t="shared" si="14"/>
        <v>132546</v>
      </c>
      <c r="Q41" s="158">
        <v>0</v>
      </c>
      <c r="R41" s="158">
        <v>0</v>
      </c>
      <c r="S41" s="98">
        <v>0</v>
      </c>
      <c r="T41" s="98">
        <f t="shared" si="15"/>
        <v>0</v>
      </c>
      <c r="U41" s="98">
        <f t="shared" si="11"/>
        <v>0</v>
      </c>
      <c r="V41" s="94">
        <v>0.1</v>
      </c>
      <c r="W41" s="95">
        <f t="shared" si="12"/>
        <v>23808.7</v>
      </c>
      <c r="X41" s="123">
        <v>0</v>
      </c>
      <c r="Y41" s="123">
        <v>0</v>
      </c>
      <c r="Z41" s="123">
        <v>48000</v>
      </c>
      <c r="AA41" s="123">
        <v>0</v>
      </c>
      <c r="AB41" s="123">
        <v>0</v>
      </c>
    </row>
    <row r="42" spans="1:28" s="4" customFormat="1" x14ac:dyDescent="0.2">
      <c r="A42" s="83" t="s">
        <v>11</v>
      </c>
      <c r="B42" s="84" t="s">
        <v>46</v>
      </c>
      <c r="C42" s="84"/>
      <c r="D42" s="84"/>
      <c r="E42" s="84"/>
      <c r="F42" s="81">
        <f>-N26</f>
        <v>0</v>
      </c>
      <c r="G42" s="86" t="s">
        <v>27</v>
      </c>
      <c r="H42" s="93">
        <v>338803</v>
      </c>
      <c r="I42" s="93">
        <f t="shared" si="10"/>
        <v>64373</v>
      </c>
      <c r="J42" s="93">
        <f t="shared" si="13"/>
        <v>403176</v>
      </c>
      <c r="K42" s="93"/>
      <c r="L42" s="96">
        <v>111033</v>
      </c>
      <c r="M42" s="96">
        <v>0</v>
      </c>
      <c r="N42" s="96">
        <v>21095</v>
      </c>
      <c r="O42" s="97">
        <v>0</v>
      </c>
      <c r="P42" s="97">
        <f t="shared" si="14"/>
        <v>132128</v>
      </c>
      <c r="Q42" s="158">
        <v>0</v>
      </c>
      <c r="R42" s="158">
        <v>0</v>
      </c>
      <c r="S42" s="98">
        <v>0</v>
      </c>
      <c r="T42" s="98">
        <f t="shared" si="15"/>
        <v>0</v>
      </c>
      <c r="U42" s="98">
        <f t="shared" si="11"/>
        <v>0</v>
      </c>
      <c r="V42" s="94">
        <v>0.15</v>
      </c>
      <c r="W42" s="95">
        <f t="shared" si="12"/>
        <v>50820.45</v>
      </c>
      <c r="X42" s="123">
        <v>0</v>
      </c>
      <c r="Y42" s="123">
        <v>0</v>
      </c>
      <c r="Z42" s="123">
        <v>48000</v>
      </c>
      <c r="AA42" s="123">
        <v>0</v>
      </c>
      <c r="AB42" s="123">
        <v>0</v>
      </c>
    </row>
    <row r="43" spans="1:28" s="4" customFormat="1" x14ac:dyDescent="0.2">
      <c r="A43" s="83" t="s">
        <v>11</v>
      </c>
      <c r="B43" s="84" t="s">
        <v>15</v>
      </c>
      <c r="C43" s="84"/>
      <c r="D43" s="84"/>
      <c r="E43" s="84"/>
      <c r="F43" s="81">
        <f>SUM(F40:F42)</f>
        <v>48532</v>
      </c>
      <c r="G43" s="86" t="s">
        <v>28</v>
      </c>
      <c r="H43" s="93">
        <v>3555847</v>
      </c>
      <c r="I43" s="93">
        <f t="shared" si="10"/>
        <v>675611</v>
      </c>
      <c r="J43" s="93">
        <f t="shared" si="13"/>
        <v>4231458</v>
      </c>
      <c r="K43" s="93"/>
      <c r="L43" s="96">
        <v>1032354</v>
      </c>
      <c r="M43" s="96">
        <v>0</v>
      </c>
      <c r="N43" s="96">
        <v>196148</v>
      </c>
      <c r="O43" s="97">
        <v>0</v>
      </c>
      <c r="P43" s="97">
        <f t="shared" si="14"/>
        <v>1228502</v>
      </c>
      <c r="Q43" s="158">
        <v>0</v>
      </c>
      <c r="R43" s="158">
        <v>0</v>
      </c>
      <c r="S43" s="98">
        <v>0</v>
      </c>
      <c r="T43" s="98">
        <f t="shared" si="15"/>
        <v>0</v>
      </c>
      <c r="U43" s="98">
        <f t="shared" si="11"/>
        <v>0</v>
      </c>
      <c r="V43" s="94">
        <v>5.0000000000000001E-3</v>
      </c>
      <c r="W43" s="95">
        <f t="shared" si="12"/>
        <v>17779.240000000002</v>
      </c>
      <c r="X43" s="123">
        <v>0</v>
      </c>
      <c r="Y43" s="123">
        <v>0</v>
      </c>
      <c r="Z43" s="123">
        <v>48000</v>
      </c>
      <c r="AA43" s="123">
        <v>0</v>
      </c>
      <c r="AB43" s="123">
        <v>31537</v>
      </c>
    </row>
    <row r="44" spans="1:28" s="4" customFormat="1" x14ac:dyDescent="0.2">
      <c r="A44" s="83" t="s">
        <v>11</v>
      </c>
      <c r="B44" s="84" t="s">
        <v>34</v>
      </c>
      <c r="C44" s="84"/>
      <c r="D44" s="84"/>
      <c r="E44" s="84"/>
      <c r="F44" s="81">
        <f>+M33</f>
        <v>0</v>
      </c>
      <c r="G44" s="86" t="s">
        <v>29</v>
      </c>
      <c r="H44" s="93">
        <v>481797</v>
      </c>
      <c r="I44" s="93">
        <v>91542</v>
      </c>
      <c r="J44" s="93">
        <f t="shared" si="13"/>
        <v>573339</v>
      </c>
      <c r="K44" s="93"/>
      <c r="L44" s="96">
        <v>276608</v>
      </c>
      <c r="M44" s="96">
        <v>0</v>
      </c>
      <c r="N44" s="96">
        <v>52555</v>
      </c>
      <c r="O44" s="97">
        <v>0</v>
      </c>
      <c r="P44" s="97">
        <f t="shared" si="14"/>
        <v>329163</v>
      </c>
      <c r="Q44" s="158">
        <v>0</v>
      </c>
      <c r="R44" s="158">
        <v>0</v>
      </c>
      <c r="S44" s="98">
        <v>0</v>
      </c>
      <c r="T44" s="98">
        <f t="shared" si="15"/>
        <v>0</v>
      </c>
      <c r="U44" s="98">
        <f t="shared" si="11"/>
        <v>0</v>
      </c>
      <c r="V44" s="94">
        <v>0.1</v>
      </c>
      <c r="W44" s="95">
        <f t="shared" si="12"/>
        <v>48179.7</v>
      </c>
      <c r="X44" s="123">
        <v>0</v>
      </c>
      <c r="Y44" s="123">
        <v>0</v>
      </c>
      <c r="Z44" s="123">
        <v>48000</v>
      </c>
      <c r="AA44" s="123">
        <v>0</v>
      </c>
      <c r="AB44" s="123">
        <v>0</v>
      </c>
    </row>
    <row r="45" spans="1:28" s="4" customFormat="1" x14ac:dyDescent="0.2">
      <c r="A45" s="83" t="s">
        <v>11</v>
      </c>
      <c r="B45" s="84" t="s">
        <v>12</v>
      </c>
      <c r="C45" s="84"/>
      <c r="D45" s="104">
        <v>0.02</v>
      </c>
      <c r="E45" s="84"/>
      <c r="F45" s="81">
        <f>ROUND((L17*D45),0)</f>
        <v>7306</v>
      </c>
      <c r="G45" s="86" t="s">
        <v>30</v>
      </c>
      <c r="H45" s="93">
        <v>656887</v>
      </c>
      <c r="I45" s="93">
        <f t="shared" si="10"/>
        <v>124809</v>
      </c>
      <c r="J45" s="93">
        <f t="shared" si="13"/>
        <v>781696</v>
      </c>
      <c r="K45" s="93"/>
      <c r="L45" s="96">
        <v>107268</v>
      </c>
      <c r="M45" s="96">
        <v>0</v>
      </c>
      <c r="N45" s="96">
        <v>20381</v>
      </c>
      <c r="O45" s="97">
        <v>0</v>
      </c>
      <c r="P45" s="97">
        <f t="shared" si="14"/>
        <v>127649</v>
      </c>
      <c r="Q45" s="158">
        <v>0</v>
      </c>
      <c r="R45" s="158">
        <v>0</v>
      </c>
      <c r="S45" s="98">
        <v>0</v>
      </c>
      <c r="T45" s="98">
        <f t="shared" si="15"/>
        <v>0</v>
      </c>
      <c r="U45" s="98">
        <f t="shared" si="11"/>
        <v>0</v>
      </c>
      <c r="V45" s="94">
        <v>0.1</v>
      </c>
      <c r="W45" s="95">
        <f t="shared" si="12"/>
        <v>65688.7</v>
      </c>
      <c r="X45" s="123">
        <v>0</v>
      </c>
      <c r="Y45" s="123">
        <v>0</v>
      </c>
      <c r="Z45" s="123">
        <v>48000</v>
      </c>
      <c r="AA45" s="123">
        <v>0</v>
      </c>
      <c r="AB45" s="123">
        <v>0</v>
      </c>
    </row>
    <row r="46" spans="1:28" s="4" customFormat="1" x14ac:dyDescent="0.2">
      <c r="A46" s="83" t="s">
        <v>11</v>
      </c>
      <c r="B46" s="105" t="s">
        <v>66</v>
      </c>
      <c r="C46" s="106"/>
      <c r="D46" s="106"/>
      <c r="E46" s="84"/>
      <c r="F46" s="107">
        <v>0</v>
      </c>
      <c r="G46" s="86" t="s">
        <v>31</v>
      </c>
      <c r="H46" s="93">
        <v>365298</v>
      </c>
      <c r="I46" s="93">
        <f t="shared" si="10"/>
        <v>69407</v>
      </c>
      <c r="J46" s="93">
        <f t="shared" si="13"/>
        <v>434705</v>
      </c>
      <c r="K46" s="93"/>
      <c r="L46" s="96">
        <v>109867</v>
      </c>
      <c r="M46" s="96">
        <v>0</v>
      </c>
      <c r="N46" s="96">
        <v>20875</v>
      </c>
      <c r="O46" s="97">
        <v>0</v>
      </c>
      <c r="P46" s="97">
        <f t="shared" si="14"/>
        <v>130742</v>
      </c>
      <c r="Q46" s="158">
        <v>0</v>
      </c>
      <c r="R46" s="158">
        <v>0</v>
      </c>
      <c r="S46" s="98">
        <v>0</v>
      </c>
      <c r="T46" s="98">
        <f t="shared" si="15"/>
        <v>0</v>
      </c>
      <c r="U46" s="98">
        <f t="shared" si="11"/>
        <v>0</v>
      </c>
      <c r="V46" s="94">
        <v>0.02</v>
      </c>
      <c r="W46" s="95">
        <f t="shared" si="12"/>
        <v>7305.96</v>
      </c>
      <c r="X46" s="123">
        <v>0</v>
      </c>
      <c r="Y46" s="123">
        <v>0</v>
      </c>
      <c r="Z46" s="123">
        <v>48000</v>
      </c>
      <c r="AA46" s="123">
        <v>0</v>
      </c>
      <c r="AB46" s="123">
        <v>0</v>
      </c>
    </row>
    <row r="47" spans="1:28" s="4" customFormat="1" x14ac:dyDescent="0.2">
      <c r="A47" s="83" t="s">
        <v>11</v>
      </c>
      <c r="B47" s="106" t="s">
        <v>19</v>
      </c>
      <c r="C47" s="106"/>
      <c r="D47" s="106"/>
      <c r="E47" s="84"/>
      <c r="F47" s="108">
        <f>SUM(F43:F45)</f>
        <v>55838</v>
      </c>
      <c r="G47" s="86" t="s">
        <v>32</v>
      </c>
      <c r="H47" s="93">
        <v>0</v>
      </c>
      <c r="I47" s="93">
        <f t="shared" si="10"/>
        <v>0</v>
      </c>
      <c r="J47" s="93">
        <f t="shared" si="13"/>
        <v>0</v>
      </c>
      <c r="K47" s="93"/>
      <c r="L47" s="96">
        <v>0</v>
      </c>
      <c r="M47" s="96">
        <v>0</v>
      </c>
      <c r="N47" s="96">
        <v>0</v>
      </c>
      <c r="O47" s="97">
        <v>0</v>
      </c>
      <c r="P47" s="97">
        <f t="shared" si="14"/>
        <v>0</v>
      </c>
      <c r="Q47" s="158">
        <v>0</v>
      </c>
      <c r="R47" s="158">
        <v>0</v>
      </c>
      <c r="S47" s="98">
        <v>0</v>
      </c>
      <c r="T47" s="98">
        <f t="shared" si="15"/>
        <v>0</v>
      </c>
      <c r="U47" s="98">
        <f t="shared" si="11"/>
        <v>0</v>
      </c>
      <c r="V47" s="94"/>
      <c r="W47" s="95">
        <f t="shared" si="12"/>
        <v>0</v>
      </c>
      <c r="X47" s="123">
        <v>0</v>
      </c>
      <c r="Y47" s="123">
        <v>0</v>
      </c>
      <c r="Z47" s="123">
        <v>0</v>
      </c>
      <c r="AA47" s="123">
        <v>0</v>
      </c>
      <c r="AB47" s="123">
        <v>0</v>
      </c>
    </row>
    <row r="48" spans="1:28" s="4" customFormat="1" x14ac:dyDescent="0.2">
      <c r="A48" s="109" t="s">
        <v>20</v>
      </c>
      <c r="B48" s="110"/>
      <c r="C48" s="110"/>
      <c r="D48" s="110"/>
      <c r="E48" s="110"/>
      <c r="F48" s="111">
        <f>+F43+F45</f>
        <v>55838</v>
      </c>
      <c r="G48" s="86" t="s">
        <v>33</v>
      </c>
      <c r="H48" s="93">
        <v>0</v>
      </c>
      <c r="I48" s="93">
        <f t="shared" si="10"/>
        <v>0</v>
      </c>
      <c r="J48" s="93">
        <f t="shared" si="13"/>
        <v>0</v>
      </c>
      <c r="K48" s="93"/>
      <c r="L48" s="96">
        <v>0</v>
      </c>
      <c r="M48" s="96">
        <v>0</v>
      </c>
      <c r="N48" s="96">
        <v>0</v>
      </c>
      <c r="O48" s="97">
        <v>0</v>
      </c>
      <c r="P48" s="97">
        <f t="shared" si="14"/>
        <v>0</v>
      </c>
      <c r="Q48" s="158">
        <v>0</v>
      </c>
      <c r="R48" s="158">
        <v>0</v>
      </c>
      <c r="S48" s="98">
        <v>0</v>
      </c>
      <c r="T48" s="98">
        <f t="shared" si="15"/>
        <v>0</v>
      </c>
      <c r="U48" s="98">
        <f t="shared" si="11"/>
        <v>0</v>
      </c>
      <c r="V48" s="94"/>
      <c r="W48" s="95">
        <f t="shared" si="12"/>
        <v>0</v>
      </c>
      <c r="X48" s="123">
        <v>0</v>
      </c>
      <c r="Y48" s="123">
        <v>0</v>
      </c>
      <c r="Z48" s="123">
        <v>0</v>
      </c>
      <c r="AA48" s="123">
        <v>0</v>
      </c>
      <c r="AB48" s="123">
        <v>0</v>
      </c>
    </row>
    <row r="49" spans="1:35" s="4" customFormat="1" x14ac:dyDescent="0.2">
      <c r="A49" s="109" t="s">
        <v>21</v>
      </c>
      <c r="B49" s="110"/>
      <c r="C49" s="110"/>
      <c r="D49" s="110"/>
      <c r="E49" s="110"/>
      <c r="F49" s="112">
        <f>+F48/L17</f>
        <v>0.1528560243965201</v>
      </c>
      <c r="G49" s="113" t="s">
        <v>36</v>
      </c>
      <c r="H49" s="114">
        <f>SUM(H37:H48)</f>
        <v>10393651</v>
      </c>
      <c r="I49" s="114">
        <f>SUM(I37:I48)</f>
        <v>1974795</v>
      </c>
      <c r="J49" s="114">
        <f>SUM(J37:J48)</f>
        <v>12368446</v>
      </c>
      <c r="K49" s="93"/>
      <c r="L49" s="116">
        <f>SUM(L37:L48)</f>
        <v>2097131</v>
      </c>
      <c r="M49" s="116">
        <f t="shared" ref="M49:P49" si="16">SUM(M37:M48)</f>
        <v>0</v>
      </c>
      <c r="N49" s="116">
        <f t="shared" si="16"/>
        <v>399025</v>
      </c>
      <c r="O49" s="116">
        <f t="shared" si="16"/>
        <v>0</v>
      </c>
      <c r="P49" s="116">
        <f t="shared" si="16"/>
        <v>2496156</v>
      </c>
      <c r="Q49" s="159">
        <f>SUM(Q37:Q48)</f>
        <v>0</v>
      </c>
      <c r="R49" s="159">
        <f>SUM(R37:R48)</f>
        <v>0</v>
      </c>
      <c r="S49" s="117">
        <f>SUM(S37:S48)</f>
        <v>0</v>
      </c>
      <c r="T49" s="117">
        <f t="shared" ref="T49:U49" si="17">SUM(T37:T48)</f>
        <v>0</v>
      </c>
      <c r="U49" s="117">
        <f t="shared" si="17"/>
        <v>0</v>
      </c>
      <c r="V49" s="144">
        <f>SUM(V37:V48)</f>
        <v>0.875</v>
      </c>
      <c r="W49" s="115">
        <f>SUM(W37:W48)</f>
        <v>689275.94999999984</v>
      </c>
      <c r="X49" s="124">
        <f>SUM(X37:X48)</f>
        <v>0</v>
      </c>
      <c r="Y49" s="124">
        <f t="shared" ref="Y49:AB49" si="18">SUM(Y37:Y48)</f>
        <v>0</v>
      </c>
      <c r="Z49" s="124">
        <f t="shared" si="18"/>
        <v>480000</v>
      </c>
      <c r="AA49" s="124">
        <f>SUM(AA37:AA48)</f>
        <v>0</v>
      </c>
      <c r="AB49" s="124">
        <f t="shared" si="18"/>
        <v>61621</v>
      </c>
    </row>
    <row r="50" spans="1:35" s="4" customFormat="1" x14ac:dyDescent="0.2">
      <c r="A50" s="118" t="s">
        <v>125</v>
      </c>
      <c r="B50" s="119"/>
      <c r="C50" s="119"/>
      <c r="D50" s="119"/>
      <c r="E50" s="119"/>
      <c r="F50" s="120">
        <f>+F43/L17</f>
        <v>0.1328559148968787</v>
      </c>
      <c r="G50" s="145" t="s">
        <v>54</v>
      </c>
      <c r="H50" s="146">
        <f>+H49/10</f>
        <v>1039365.1</v>
      </c>
      <c r="I50" s="146">
        <f>+I49/10</f>
        <v>197479.5</v>
      </c>
      <c r="J50" s="146">
        <f>+J49/10</f>
        <v>1236844.6000000001</v>
      </c>
      <c r="K50" s="145"/>
      <c r="L50" s="149">
        <f t="shared" ref="L50:AB50" si="19">+L49/10</f>
        <v>209713.1</v>
      </c>
      <c r="M50" s="149">
        <f t="shared" si="19"/>
        <v>0</v>
      </c>
      <c r="N50" s="149">
        <f t="shared" si="19"/>
        <v>39902.5</v>
      </c>
      <c r="O50" s="149">
        <f t="shared" si="19"/>
        <v>0</v>
      </c>
      <c r="P50" s="149">
        <f t="shared" si="19"/>
        <v>249615.6</v>
      </c>
      <c r="Q50" s="160">
        <f t="shared" si="19"/>
        <v>0</v>
      </c>
      <c r="R50" s="160">
        <f t="shared" si="19"/>
        <v>0</v>
      </c>
      <c r="S50" s="150">
        <f t="shared" si="19"/>
        <v>0</v>
      </c>
      <c r="T50" s="150">
        <f t="shared" si="19"/>
        <v>0</v>
      </c>
      <c r="U50" s="150">
        <f t="shared" si="19"/>
        <v>0</v>
      </c>
      <c r="V50" s="147">
        <f t="shared" si="19"/>
        <v>8.7499999999999994E-2</v>
      </c>
      <c r="W50" s="148">
        <f t="shared" si="19"/>
        <v>68927.594999999987</v>
      </c>
      <c r="X50" s="151">
        <f t="shared" si="19"/>
        <v>0</v>
      </c>
      <c r="Y50" s="151">
        <f t="shared" si="19"/>
        <v>0</v>
      </c>
      <c r="Z50" s="151">
        <f t="shared" si="19"/>
        <v>48000</v>
      </c>
      <c r="AA50" s="151">
        <f t="shared" si="19"/>
        <v>0</v>
      </c>
      <c r="AB50" s="151">
        <f t="shared" si="19"/>
        <v>6162.1</v>
      </c>
    </row>
    <row r="51" spans="1:35" s="4" customFormat="1" x14ac:dyDescent="0.2">
      <c r="A51" s="2"/>
      <c r="B51" s="2"/>
      <c r="C51" s="2"/>
      <c r="D51" s="2"/>
      <c r="E51" s="2"/>
      <c r="F51" s="2"/>
      <c r="G51" s="2"/>
      <c r="Q51" s="2"/>
      <c r="R51" s="2"/>
      <c r="T51" s="2"/>
      <c r="U51" s="2"/>
    </row>
    <row r="52" spans="1:35" x14ac:dyDescent="0.2">
      <c r="X52" s="121"/>
      <c r="AB52" s="121"/>
      <c r="AD52" s="4"/>
      <c r="AF52" s="121"/>
      <c r="AI52" s="121">
        <v>-4.5</v>
      </c>
    </row>
    <row r="53" spans="1:35" x14ac:dyDescent="0.2">
      <c r="AD53" s="4"/>
    </row>
  </sheetData>
  <mergeCells count="12">
    <mergeCell ref="X35:AB35"/>
    <mergeCell ref="B3:D3"/>
    <mergeCell ref="E3:F3"/>
    <mergeCell ref="E4:F4"/>
    <mergeCell ref="E20:F20"/>
    <mergeCell ref="E30:F30"/>
    <mergeCell ref="A35:F35"/>
    <mergeCell ref="G35:K35"/>
    <mergeCell ref="L35:P35"/>
    <mergeCell ref="Q35:R35"/>
    <mergeCell ref="S35:U35"/>
    <mergeCell ref="V35:W35"/>
  </mergeCells>
  <pageMargins left="0.7" right="0.7" top="0.75" bottom="0.75" header="0.3" footer="0.3"/>
  <pageSetup orientation="portrait" horizontalDpi="200" verticalDpi="200" r:id="rId1"/>
  <ignoredErrors>
    <ignoredError sqref="M10:N15 N27" formula="1"/>
    <ignoredError sqref="P21:P22 P24" formulaRange="1"/>
    <ignoredError sqref="P23" formula="1" formulaRange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9786-CE39-4F7A-A23A-A7C6CE561261}">
  <dimension ref="A1:AK50"/>
  <sheetViews>
    <sheetView zoomScale="117" zoomScaleNormal="117" workbookViewId="0">
      <pane ySplit="4" topLeftCell="A10" activePane="bottomLeft" state="frozen"/>
      <selection pane="bottomLeft" activeCell="V25" sqref="V25"/>
    </sheetView>
  </sheetViews>
  <sheetFormatPr baseColWidth="10" defaultColWidth="11.42578125" defaultRowHeight="11.25" x14ac:dyDescent="0.2"/>
  <cols>
    <col min="1" max="3" width="3.7109375" style="2" customWidth="1"/>
    <col min="4" max="4" width="5.7109375" style="2" customWidth="1"/>
    <col min="5" max="5" width="3.7109375" style="2" customWidth="1"/>
    <col min="6" max="10" width="9.28515625" style="2" customWidth="1"/>
    <col min="11" max="11" width="1.7109375" style="2" customWidth="1"/>
    <col min="12" max="17" width="9.28515625" style="2" customWidth="1"/>
    <col min="18" max="18" width="9.28515625" style="4" customWidth="1"/>
    <col min="19" max="28" width="9.28515625" style="2" customWidth="1"/>
    <col min="29" max="16384" width="11.42578125" style="2"/>
  </cols>
  <sheetData>
    <row r="1" spans="1:37" s="4" customFormat="1" x14ac:dyDescent="0.2">
      <c r="A1" s="174" t="s">
        <v>105</v>
      </c>
      <c r="B1" s="175"/>
      <c r="C1" s="175"/>
      <c r="D1" s="175"/>
      <c r="E1" s="176"/>
      <c r="F1" s="176"/>
      <c r="G1" s="37" t="s">
        <v>44</v>
      </c>
      <c r="H1" s="50"/>
      <c r="I1" s="176"/>
      <c r="J1" s="176"/>
      <c r="K1" s="177"/>
      <c r="L1" s="176"/>
      <c r="M1" s="178" t="s">
        <v>84</v>
      </c>
      <c r="N1" s="177">
        <v>2023</v>
      </c>
      <c r="O1" s="3"/>
      <c r="P1" s="3"/>
      <c r="Q1" s="3"/>
    </row>
    <row r="2" spans="1:37" s="4" customFormat="1" x14ac:dyDescent="0.2">
      <c r="A2" s="5" t="s">
        <v>3</v>
      </c>
      <c r="B2" s="6"/>
      <c r="C2" s="6"/>
      <c r="D2" s="6"/>
      <c r="E2" s="6"/>
      <c r="F2" s="7"/>
      <c r="G2" s="2"/>
      <c r="H2" s="2"/>
      <c r="I2" s="2"/>
      <c r="J2" s="8"/>
      <c r="K2" s="8"/>
      <c r="L2" s="3"/>
      <c r="M2" s="3"/>
      <c r="N2" s="3"/>
      <c r="O2" s="3"/>
      <c r="P2" s="3"/>
      <c r="Q2" s="3"/>
    </row>
    <row r="3" spans="1:37" s="4" customFormat="1" x14ac:dyDescent="0.2">
      <c r="A3" s="9" t="s">
        <v>41</v>
      </c>
      <c r="B3" s="189" t="s">
        <v>40</v>
      </c>
      <c r="C3" s="189"/>
      <c r="D3" s="189"/>
      <c r="E3" s="190" t="s">
        <v>82</v>
      </c>
      <c r="F3" s="190"/>
      <c r="G3" s="10"/>
      <c r="H3" s="10"/>
      <c r="I3" s="10"/>
      <c r="J3" s="10"/>
      <c r="K3" s="10"/>
      <c r="L3" s="11"/>
      <c r="M3" s="11"/>
      <c r="N3" s="11"/>
      <c r="O3" s="11"/>
      <c r="P3" s="11"/>
      <c r="Q3" s="11"/>
    </row>
    <row r="4" spans="1:37" s="4" customFormat="1" x14ac:dyDescent="0.2">
      <c r="A4" s="9" t="s">
        <v>42</v>
      </c>
      <c r="B4" s="12" t="s">
        <v>37</v>
      </c>
      <c r="C4" s="12" t="s">
        <v>38</v>
      </c>
      <c r="D4" s="12" t="s">
        <v>39</v>
      </c>
      <c r="E4" s="190" t="s">
        <v>81</v>
      </c>
      <c r="F4" s="190"/>
      <c r="G4" s="9"/>
      <c r="H4" s="9" t="s">
        <v>0</v>
      </c>
      <c r="I4" s="9"/>
      <c r="J4" s="9" t="s">
        <v>5</v>
      </c>
      <c r="K4" s="9"/>
      <c r="L4" s="9" t="s">
        <v>52</v>
      </c>
      <c r="M4" s="9" t="s">
        <v>1</v>
      </c>
      <c r="N4" s="9" t="s">
        <v>2</v>
      </c>
      <c r="O4" s="2"/>
      <c r="P4" s="2"/>
      <c r="Q4" s="2"/>
    </row>
    <row r="5" spans="1:37" s="4" customFormat="1" x14ac:dyDescent="0.2">
      <c r="A5" s="13">
        <v>1</v>
      </c>
      <c r="B5" s="13"/>
      <c r="C5" s="13">
        <v>9</v>
      </c>
      <c r="D5" s="14">
        <v>2023</v>
      </c>
      <c r="E5" s="14" t="s">
        <v>77</v>
      </c>
      <c r="F5" s="167">
        <v>48</v>
      </c>
      <c r="G5" s="15" t="s">
        <v>114</v>
      </c>
      <c r="H5" s="15"/>
      <c r="I5" s="15"/>
      <c r="J5" s="168">
        <v>99231000</v>
      </c>
      <c r="K5" s="14">
        <v>6</v>
      </c>
      <c r="L5" s="16">
        <v>455711</v>
      </c>
      <c r="M5" s="16">
        <f t="shared" ref="M5:M6" si="0">ROUND((L5*19%),0)</f>
        <v>86585</v>
      </c>
      <c r="N5" s="16">
        <f>ROUND((L5+M5),0)</f>
        <v>542296</v>
      </c>
      <c r="O5" s="2"/>
      <c r="P5" s="2"/>
      <c r="Q5" s="2"/>
    </row>
    <row r="6" spans="1:37" s="4" customFormat="1" x14ac:dyDescent="0.2">
      <c r="A6" s="13">
        <v>2</v>
      </c>
      <c r="B6" s="13"/>
      <c r="C6" s="13">
        <v>9</v>
      </c>
      <c r="D6" s="14">
        <v>2023</v>
      </c>
      <c r="E6" s="14" t="s">
        <v>77</v>
      </c>
      <c r="F6" s="167">
        <v>49</v>
      </c>
      <c r="G6" s="15" t="s">
        <v>96</v>
      </c>
      <c r="H6" s="15"/>
      <c r="I6" s="15"/>
      <c r="J6" s="168">
        <v>76743492</v>
      </c>
      <c r="K6" s="14">
        <v>8</v>
      </c>
      <c r="L6" s="16">
        <v>201176</v>
      </c>
      <c r="M6" s="16">
        <f t="shared" si="0"/>
        <v>38223</v>
      </c>
      <c r="N6" s="16">
        <f t="shared" ref="N6" si="1">ROUND((L6+M6),0)</f>
        <v>239399</v>
      </c>
      <c r="O6" s="2"/>
      <c r="P6" s="2"/>
      <c r="Q6" s="2"/>
    </row>
    <row r="7" spans="1:37" s="4" customFormat="1" x14ac:dyDescent="0.2">
      <c r="A7" s="1" t="s">
        <v>51</v>
      </c>
      <c r="B7" s="17"/>
      <c r="C7" s="17"/>
      <c r="D7" s="18"/>
      <c r="E7" s="18"/>
      <c r="F7" s="19"/>
      <c r="G7" s="20"/>
      <c r="H7" s="20"/>
      <c r="I7" s="20"/>
      <c r="J7" s="18"/>
      <c r="K7" s="18"/>
      <c r="L7" s="21">
        <f>SUM(L5:L6)</f>
        <v>656887</v>
      </c>
      <c r="M7" s="21">
        <f>SUM(M5:M6)</f>
        <v>124808</v>
      </c>
      <c r="N7" s="21">
        <f>SUM(N5:N6)</f>
        <v>781695</v>
      </c>
      <c r="O7" s="2"/>
      <c r="P7" s="2"/>
    </row>
    <row r="8" spans="1:37" s="4" customFormat="1" x14ac:dyDescent="0.2">
      <c r="A8" s="22">
        <v>1</v>
      </c>
      <c r="B8" s="22"/>
      <c r="C8" s="22">
        <v>9</v>
      </c>
      <c r="D8" s="23">
        <v>2023</v>
      </c>
      <c r="E8" s="23" t="s">
        <v>78</v>
      </c>
      <c r="F8" s="22"/>
      <c r="G8" s="24"/>
      <c r="H8" s="24"/>
      <c r="I8" s="24"/>
      <c r="J8" s="169"/>
      <c r="K8" s="23"/>
      <c r="L8" s="170"/>
      <c r="M8" s="25">
        <f t="shared" ref="M8:M9" si="2">ROUND((L8*19%),0)</f>
        <v>0</v>
      </c>
      <c r="N8" s="25">
        <f>ROUND((L8+M8),0)</f>
        <v>0</v>
      </c>
      <c r="O8" s="2"/>
      <c r="P8" s="2"/>
      <c r="Q8" s="2"/>
    </row>
    <row r="9" spans="1:37" s="4" customFormat="1" x14ac:dyDescent="0.2">
      <c r="A9" s="22">
        <v>2</v>
      </c>
      <c r="B9" s="22"/>
      <c r="C9" s="22">
        <v>9</v>
      </c>
      <c r="D9" s="23">
        <v>2023</v>
      </c>
      <c r="E9" s="23" t="s">
        <v>78</v>
      </c>
      <c r="F9" s="22"/>
      <c r="G9" s="24"/>
      <c r="H9" s="24"/>
      <c r="I9" s="24"/>
      <c r="J9" s="169"/>
      <c r="K9" s="23"/>
      <c r="L9" s="170"/>
      <c r="M9" s="25">
        <f t="shared" si="2"/>
        <v>0</v>
      </c>
      <c r="N9" s="25">
        <f t="shared" ref="N9" si="3">ROUND((L9+M9),0)</f>
        <v>0</v>
      </c>
      <c r="O9" s="2"/>
      <c r="P9" s="2"/>
      <c r="Q9" s="2"/>
    </row>
    <row r="10" spans="1:37" s="4" customFormat="1" x14ac:dyDescent="0.2">
      <c r="A10" s="26" t="s">
        <v>50</v>
      </c>
      <c r="B10" s="27"/>
      <c r="C10" s="27"/>
      <c r="D10" s="28"/>
      <c r="E10" s="28"/>
      <c r="F10" s="29"/>
      <c r="G10" s="30"/>
      <c r="H10" s="30"/>
      <c r="I10" s="30"/>
      <c r="J10" s="28"/>
      <c r="K10" s="28"/>
      <c r="L10" s="31">
        <f>SUM(L8:L9)</f>
        <v>0</v>
      </c>
      <c r="M10" s="31">
        <f>SUM(M8:M9)</f>
        <v>0</v>
      </c>
      <c r="N10" s="31">
        <f>SUM(N8:N9)</f>
        <v>0</v>
      </c>
      <c r="O10" s="30"/>
      <c r="P10" s="30"/>
      <c r="Q10" s="2"/>
      <c r="R10" s="2"/>
      <c r="S10" s="2"/>
    </row>
    <row r="11" spans="1:37" s="4" customFormat="1" x14ac:dyDescent="0.2">
      <c r="A11" s="32">
        <v>1</v>
      </c>
      <c r="B11" s="32"/>
      <c r="C11" s="32">
        <v>9</v>
      </c>
      <c r="D11" s="33">
        <v>2023</v>
      </c>
      <c r="E11" s="33" t="s">
        <v>79</v>
      </c>
      <c r="F11" s="34"/>
      <c r="G11" s="35"/>
      <c r="H11" s="35"/>
      <c r="I11" s="35"/>
      <c r="J11" s="171"/>
      <c r="K11" s="33"/>
      <c r="L11" s="36"/>
      <c r="M11" s="36">
        <f t="shared" ref="M11:M12" si="4">ROUND((L11*19%),0)</f>
        <v>0</v>
      </c>
      <c r="N11" s="36">
        <f t="shared" ref="N11:N12" si="5">SUM(L11:M11)</f>
        <v>0</v>
      </c>
      <c r="O11" s="30"/>
      <c r="P11" s="30"/>
      <c r="R11" s="2"/>
    </row>
    <row r="12" spans="1:37" s="4" customFormat="1" x14ac:dyDescent="0.2">
      <c r="A12" s="32">
        <v>2</v>
      </c>
      <c r="B12" s="32"/>
      <c r="C12" s="32">
        <v>9</v>
      </c>
      <c r="D12" s="33">
        <v>2023</v>
      </c>
      <c r="E12" s="33" t="s">
        <v>79</v>
      </c>
      <c r="F12" s="34"/>
      <c r="G12" s="35"/>
      <c r="H12" s="35"/>
      <c r="I12" s="35"/>
      <c r="J12" s="33"/>
      <c r="K12" s="33"/>
      <c r="L12" s="36"/>
      <c r="M12" s="36">
        <f t="shared" si="4"/>
        <v>0</v>
      </c>
      <c r="N12" s="36">
        <f t="shared" si="5"/>
        <v>0</v>
      </c>
      <c r="O12" s="30"/>
      <c r="P12" s="30"/>
      <c r="Q12" s="2"/>
    </row>
    <row r="13" spans="1:37" s="4" customFormat="1" x14ac:dyDescent="0.2">
      <c r="A13" s="37" t="s">
        <v>65</v>
      </c>
      <c r="B13" s="38"/>
      <c r="C13" s="38"/>
      <c r="D13" s="39"/>
      <c r="E13" s="39"/>
      <c r="F13" s="40"/>
      <c r="G13" s="41"/>
      <c r="H13" s="41"/>
      <c r="I13" s="41"/>
      <c r="J13" s="39"/>
      <c r="K13" s="39"/>
      <c r="L13" s="42">
        <f>SUM(L11:L12)</f>
        <v>0</v>
      </c>
      <c r="M13" s="42">
        <f t="shared" ref="M13:N13" si="6">SUM(M11:M12)</f>
        <v>0</v>
      </c>
      <c r="N13" s="42">
        <f t="shared" si="6"/>
        <v>0</v>
      </c>
      <c r="O13" s="30"/>
      <c r="P13" s="30"/>
      <c r="Q13" s="2"/>
    </row>
    <row r="14" spans="1:37" s="4" customFormat="1" x14ac:dyDescent="0.2">
      <c r="A14" s="43" t="s">
        <v>16</v>
      </c>
      <c r="B14" s="44"/>
      <c r="C14" s="44"/>
      <c r="D14" s="44"/>
      <c r="E14" s="44"/>
      <c r="F14" s="45"/>
      <c r="G14" s="45"/>
      <c r="H14" s="45"/>
      <c r="I14" s="45"/>
      <c r="J14" s="46"/>
      <c r="K14" s="46"/>
      <c r="L14" s="47">
        <f>+L7+L10+L13</f>
        <v>656887</v>
      </c>
      <c r="M14" s="47">
        <f>+M7+M10+M13</f>
        <v>124808</v>
      </c>
      <c r="N14" s="47">
        <f>+N7+N10+N13</f>
        <v>781695</v>
      </c>
      <c r="O14" s="2"/>
      <c r="P14" s="2"/>
      <c r="Q14" s="2"/>
      <c r="S14" s="48"/>
      <c r="T14" s="49"/>
      <c r="U14" s="50"/>
    </row>
    <row r="15" spans="1:37" x14ac:dyDescent="0.2">
      <c r="S15" s="48"/>
      <c r="T15" s="49"/>
      <c r="U15" s="50"/>
    </row>
    <row r="16" spans="1:37" s="4" customFormat="1" x14ac:dyDescent="0.2">
      <c r="A16" s="51" t="s">
        <v>6</v>
      </c>
      <c r="B16" s="52"/>
      <c r="C16" s="52"/>
      <c r="D16" s="52"/>
      <c r="E16" s="53"/>
      <c r="F16" s="53"/>
      <c r="G16" s="2"/>
      <c r="H16" s="2"/>
      <c r="I16" s="2"/>
      <c r="J16" s="8"/>
      <c r="K16" s="8"/>
      <c r="L16" s="54"/>
      <c r="M16" s="3"/>
      <c r="N16" s="3"/>
      <c r="O16" s="3"/>
      <c r="P16" s="3"/>
      <c r="Q16" s="3"/>
      <c r="S16" s="48"/>
      <c r="T16" s="49"/>
      <c r="U16" s="50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1:28" x14ac:dyDescent="0.2">
      <c r="A17" s="55" t="s">
        <v>41</v>
      </c>
      <c r="B17" s="56" t="s">
        <v>37</v>
      </c>
      <c r="C17" s="56" t="s">
        <v>38</v>
      </c>
      <c r="D17" s="56" t="s">
        <v>39</v>
      </c>
      <c r="E17" s="191" t="s">
        <v>71</v>
      </c>
      <c r="F17" s="191"/>
      <c r="G17" s="55"/>
      <c r="H17" s="55" t="s">
        <v>4</v>
      </c>
      <c r="I17" s="55"/>
      <c r="J17" s="55" t="s">
        <v>5</v>
      </c>
      <c r="K17" s="55"/>
      <c r="L17" s="55" t="s">
        <v>52</v>
      </c>
      <c r="M17" s="55" t="s">
        <v>35</v>
      </c>
      <c r="N17" s="55" t="s">
        <v>1</v>
      </c>
      <c r="O17" s="55" t="s">
        <v>61</v>
      </c>
      <c r="P17" s="55" t="s">
        <v>2</v>
      </c>
    </row>
    <row r="18" spans="1:28" x14ac:dyDescent="0.2">
      <c r="A18" s="57">
        <v>1</v>
      </c>
      <c r="B18" s="58">
        <v>1</v>
      </c>
      <c r="C18" s="58">
        <v>9</v>
      </c>
      <c r="D18" s="58">
        <v>2023</v>
      </c>
      <c r="E18" s="59" t="s">
        <v>77</v>
      </c>
      <c r="F18" s="59">
        <v>69227181</v>
      </c>
      <c r="G18" s="53" t="s">
        <v>104</v>
      </c>
      <c r="H18" s="60"/>
      <c r="I18" s="53"/>
      <c r="J18" s="61">
        <v>76124890</v>
      </c>
      <c r="K18" s="59">
        <v>1</v>
      </c>
      <c r="L18" s="62">
        <v>80478</v>
      </c>
      <c r="M18" s="62">
        <v>0</v>
      </c>
      <c r="N18" s="62">
        <v>15291</v>
      </c>
      <c r="O18" s="62">
        <v>0</v>
      </c>
      <c r="P18" s="62">
        <f>SUM(L18:O18)</f>
        <v>95769</v>
      </c>
      <c r="Q18" s="121"/>
      <c r="R18" s="166"/>
      <c r="S18" s="166"/>
      <c r="T18" s="166"/>
      <c r="U18" s="166"/>
      <c r="V18" s="166"/>
    </row>
    <row r="19" spans="1:28" x14ac:dyDescent="0.2">
      <c r="A19" s="57">
        <v>2</v>
      </c>
      <c r="B19" s="58">
        <v>27</v>
      </c>
      <c r="C19" s="58">
        <v>9</v>
      </c>
      <c r="D19" s="58">
        <v>2023</v>
      </c>
      <c r="E19" s="59" t="s">
        <v>77</v>
      </c>
      <c r="F19" s="59">
        <v>59586</v>
      </c>
      <c r="G19" s="53" t="s">
        <v>109</v>
      </c>
      <c r="H19" s="60"/>
      <c r="I19" s="53"/>
      <c r="J19" s="61">
        <v>77617950</v>
      </c>
      <c r="K19" s="59">
        <v>7</v>
      </c>
      <c r="L19" s="62">
        <v>26790</v>
      </c>
      <c r="M19" s="62">
        <v>0</v>
      </c>
      <c r="N19" s="62">
        <v>5090</v>
      </c>
      <c r="O19" s="62">
        <v>0</v>
      </c>
      <c r="P19" s="62">
        <f t="shared" ref="P19" si="7">SUM(L19:O19)</f>
        <v>31880</v>
      </c>
      <c r="U19" s="54"/>
      <c r="V19" s="8"/>
    </row>
    <row r="20" spans="1:28" x14ac:dyDescent="0.2">
      <c r="A20" s="1" t="s">
        <v>49</v>
      </c>
      <c r="B20" s="17"/>
      <c r="C20" s="17"/>
      <c r="D20" s="17"/>
      <c r="E20" s="65"/>
      <c r="F20" s="19"/>
      <c r="G20" s="20"/>
      <c r="H20" s="20"/>
      <c r="I20" s="20"/>
      <c r="J20" s="18"/>
      <c r="K20" s="18"/>
      <c r="L20" s="21">
        <f>SUM(L18:L19)</f>
        <v>107268</v>
      </c>
      <c r="M20" s="21">
        <f>SUM(M18:M19)</f>
        <v>0</v>
      </c>
      <c r="N20" s="21">
        <f>SUM(N18:N19)</f>
        <v>20381</v>
      </c>
      <c r="O20" s="21">
        <f>SUM(O18:O19)</f>
        <v>0</v>
      </c>
      <c r="P20" s="21">
        <f>SUM(P18:P19)</f>
        <v>127649</v>
      </c>
      <c r="R20" s="121"/>
      <c r="S20" s="54"/>
      <c r="U20" s="172"/>
      <c r="V20" s="153"/>
      <c r="W20" s="153"/>
    </row>
    <row r="21" spans="1:28" x14ac:dyDescent="0.2">
      <c r="A21" s="66">
        <v>1</v>
      </c>
      <c r="B21" s="66"/>
      <c r="C21" s="66">
        <v>9</v>
      </c>
      <c r="D21" s="66">
        <v>2023</v>
      </c>
      <c r="E21" s="67" t="s">
        <v>78</v>
      </c>
      <c r="F21" s="68"/>
      <c r="G21" s="69"/>
      <c r="H21" s="70"/>
      <c r="I21" s="69"/>
      <c r="J21" s="71"/>
      <c r="K21" s="72"/>
      <c r="L21" s="73"/>
      <c r="M21" s="74">
        <v>0</v>
      </c>
      <c r="N21" s="74">
        <f t="shared" ref="N21:N22" si="8">ROUND((L21*19%),0)</f>
        <v>0</v>
      </c>
      <c r="O21" s="74">
        <v>0</v>
      </c>
      <c r="P21" s="74">
        <f>SUM(L21:O21)</f>
        <v>0</v>
      </c>
      <c r="R21" s="121"/>
      <c r="S21" s="4"/>
      <c r="U21" s="173"/>
      <c r="V21" s="153"/>
      <c r="W21" s="153"/>
    </row>
    <row r="22" spans="1:28" x14ac:dyDescent="0.2">
      <c r="A22" s="66">
        <v>2</v>
      </c>
      <c r="B22" s="66"/>
      <c r="C22" s="66">
        <v>9</v>
      </c>
      <c r="D22" s="66">
        <v>2023</v>
      </c>
      <c r="E22" s="67" t="s">
        <v>78</v>
      </c>
      <c r="F22" s="68"/>
      <c r="G22" s="69"/>
      <c r="H22" s="70"/>
      <c r="I22" s="69"/>
      <c r="J22" s="71"/>
      <c r="K22" s="72"/>
      <c r="L22" s="74"/>
      <c r="M22" s="74">
        <v>0</v>
      </c>
      <c r="N22" s="74">
        <f t="shared" si="8"/>
        <v>0</v>
      </c>
      <c r="O22" s="74">
        <v>0</v>
      </c>
      <c r="P22" s="74">
        <f>SUM(L22:O22)</f>
        <v>0</v>
      </c>
      <c r="R22" s="121"/>
      <c r="U22" s="173"/>
      <c r="V22" s="153"/>
      <c r="W22" s="153"/>
    </row>
    <row r="23" spans="1:28" x14ac:dyDescent="0.2">
      <c r="A23" s="26" t="s">
        <v>48</v>
      </c>
      <c r="B23" s="27"/>
      <c r="C23" s="27"/>
      <c r="D23" s="27"/>
      <c r="E23" s="75"/>
      <c r="F23" s="29"/>
      <c r="G23" s="30"/>
      <c r="H23" s="30"/>
      <c r="I23" s="30"/>
      <c r="J23" s="28"/>
      <c r="K23" s="28"/>
      <c r="L23" s="31">
        <f>SUM(L21:L22)</f>
        <v>0</v>
      </c>
      <c r="M23" s="31">
        <f>SUM(M21:M22)</f>
        <v>0</v>
      </c>
      <c r="N23" s="31">
        <f>SUM(N21:N22)</f>
        <v>0</v>
      </c>
      <c r="O23" s="31">
        <f>SUM(O21:O22)</f>
        <v>0</v>
      </c>
      <c r="P23" s="31">
        <f>SUM(P21:P22)</f>
        <v>0</v>
      </c>
      <c r="R23" s="121"/>
      <c r="U23" s="173"/>
      <c r="V23" s="153"/>
      <c r="W23" s="153"/>
    </row>
    <row r="24" spans="1:28" x14ac:dyDescent="0.2">
      <c r="A24" s="76" t="s">
        <v>17</v>
      </c>
      <c r="B24" s="56"/>
      <c r="C24" s="56"/>
      <c r="D24" s="56"/>
      <c r="E24" s="56"/>
      <c r="F24" s="77"/>
      <c r="G24" s="77"/>
      <c r="H24" s="77"/>
      <c r="I24" s="77"/>
      <c r="J24" s="78"/>
      <c r="K24" s="78"/>
      <c r="L24" s="79">
        <f>+L20+L23</f>
        <v>107268</v>
      </c>
      <c r="M24" s="79">
        <f>+M20-M23</f>
        <v>0</v>
      </c>
      <c r="N24" s="79">
        <f>N20+N23</f>
        <v>20381</v>
      </c>
      <c r="O24" s="79">
        <f>+O20-O23</f>
        <v>0</v>
      </c>
      <c r="P24" s="79">
        <f>+P20+P23</f>
        <v>127649</v>
      </c>
      <c r="R24" s="121"/>
      <c r="S24" s="4"/>
      <c r="U24" s="173"/>
      <c r="V24" s="153"/>
      <c r="W24" s="153"/>
    </row>
    <row r="25" spans="1:28" x14ac:dyDescent="0.2">
      <c r="R25" s="121"/>
      <c r="S25" s="121"/>
      <c r="T25" s="121"/>
      <c r="U25" s="173"/>
      <c r="V25" s="153"/>
      <c r="W25" s="154"/>
    </row>
    <row r="26" spans="1:28" x14ac:dyDescent="0.2">
      <c r="A26" s="125" t="s">
        <v>7</v>
      </c>
      <c r="B26" s="126"/>
      <c r="C26" s="126"/>
      <c r="D26" s="126"/>
      <c r="E26" s="126"/>
      <c r="F26" s="127"/>
      <c r="J26" s="8"/>
      <c r="K26" s="8"/>
      <c r="L26" s="3"/>
      <c r="M26" s="3"/>
      <c r="N26" s="3"/>
      <c r="O26" s="3"/>
      <c r="P26" s="3"/>
      <c r="Q26" s="3"/>
      <c r="R26" s="2"/>
      <c r="U26" s="4"/>
      <c r="V26" s="156"/>
      <c r="W26" s="155"/>
    </row>
    <row r="27" spans="1:28" x14ac:dyDescent="0.2">
      <c r="A27" s="128" t="s">
        <v>41</v>
      </c>
      <c r="B27" s="129" t="s">
        <v>70</v>
      </c>
      <c r="C27" s="129" t="s">
        <v>38</v>
      </c>
      <c r="D27" s="129" t="s">
        <v>39</v>
      </c>
      <c r="E27" s="192" t="s">
        <v>43</v>
      </c>
      <c r="F27" s="192"/>
      <c r="G27" s="128"/>
      <c r="H27" s="128" t="s">
        <v>8</v>
      </c>
      <c r="I27" s="128"/>
      <c r="J27" s="128" t="s">
        <v>5</v>
      </c>
      <c r="K27" s="128"/>
      <c r="L27" s="128" t="s">
        <v>9</v>
      </c>
      <c r="M27" s="128" t="s">
        <v>97</v>
      </c>
      <c r="N27" s="128" t="s">
        <v>10</v>
      </c>
      <c r="R27" s="2"/>
      <c r="U27" s="4"/>
      <c r="V27" s="156"/>
      <c r="W27" s="156"/>
    </row>
    <row r="28" spans="1:28" x14ac:dyDescent="0.2">
      <c r="A28" s="130">
        <v>1</v>
      </c>
      <c r="B28" s="131"/>
      <c r="C28" s="131">
        <v>9</v>
      </c>
      <c r="D28" s="131">
        <v>2023</v>
      </c>
      <c r="E28" s="132" t="s">
        <v>80</v>
      </c>
      <c r="F28" s="133"/>
      <c r="G28" s="137"/>
      <c r="H28" s="138"/>
      <c r="I28" s="138"/>
      <c r="J28" s="139"/>
      <c r="K28" s="132"/>
      <c r="L28" s="140"/>
      <c r="M28" s="141">
        <f>+L28*0.13</f>
        <v>0</v>
      </c>
      <c r="N28" s="141">
        <f>+L28-M28</f>
        <v>0</v>
      </c>
      <c r="R28" s="2"/>
      <c r="S28" s="4"/>
      <c r="U28" s="4"/>
      <c r="V28" s="156"/>
      <c r="W28" s="155"/>
    </row>
    <row r="29" spans="1:28" x14ac:dyDescent="0.2">
      <c r="A29" s="130">
        <v>2</v>
      </c>
      <c r="B29" s="131"/>
      <c r="C29" s="131">
        <v>9</v>
      </c>
      <c r="D29" s="131">
        <v>2023</v>
      </c>
      <c r="E29" s="132" t="s">
        <v>80</v>
      </c>
      <c r="F29" s="133"/>
      <c r="G29" s="137"/>
      <c r="H29" s="138"/>
      <c r="I29" s="138"/>
      <c r="J29" s="139"/>
      <c r="K29" s="132"/>
      <c r="L29" s="140"/>
      <c r="M29" s="141">
        <f>+L29*0.13</f>
        <v>0</v>
      </c>
      <c r="N29" s="141">
        <f t="shared" ref="N29" si="9">+L29-M29</f>
        <v>0</v>
      </c>
      <c r="R29" s="121"/>
      <c r="S29" s="4"/>
      <c r="U29" s="173"/>
      <c r="V29" s="153"/>
      <c r="W29" s="154"/>
    </row>
    <row r="30" spans="1:28" x14ac:dyDescent="0.2">
      <c r="A30" s="134" t="s">
        <v>18</v>
      </c>
      <c r="B30" s="135"/>
      <c r="C30" s="135"/>
      <c r="D30" s="135"/>
      <c r="E30" s="129"/>
      <c r="F30" s="136"/>
      <c r="G30" s="136"/>
      <c r="H30" s="136"/>
      <c r="I30" s="136"/>
      <c r="J30" s="142"/>
      <c r="K30" s="142"/>
      <c r="L30" s="143">
        <f>SUM(L28:L29)</f>
        <v>0</v>
      </c>
      <c r="M30" s="143">
        <f>SUM(M28:M29)</f>
        <v>0</v>
      </c>
      <c r="N30" s="143">
        <f>SUM(N28:N29)</f>
        <v>0</v>
      </c>
      <c r="R30" s="2"/>
      <c r="U30" s="4"/>
      <c r="V30" s="156"/>
      <c r="W30" s="155"/>
    </row>
    <row r="32" spans="1:28" x14ac:dyDescent="0.2">
      <c r="A32" s="193" t="s">
        <v>120</v>
      </c>
      <c r="B32" s="193"/>
      <c r="C32" s="193"/>
      <c r="D32" s="193"/>
      <c r="E32" s="193"/>
      <c r="F32" s="193"/>
      <c r="G32" s="183" t="s">
        <v>55</v>
      </c>
      <c r="H32" s="183"/>
      <c r="I32" s="183"/>
      <c r="J32" s="183"/>
      <c r="K32" s="183"/>
      <c r="L32" s="184" t="s">
        <v>83</v>
      </c>
      <c r="M32" s="184"/>
      <c r="N32" s="184"/>
      <c r="O32" s="184"/>
      <c r="P32" s="184"/>
      <c r="Q32" s="185" t="s">
        <v>75</v>
      </c>
      <c r="R32" s="185"/>
      <c r="S32" s="186" t="s">
        <v>73</v>
      </c>
      <c r="T32" s="186"/>
      <c r="U32" s="186"/>
      <c r="V32" s="187" t="s">
        <v>12</v>
      </c>
      <c r="W32" s="187"/>
      <c r="X32" s="188" t="s">
        <v>69</v>
      </c>
      <c r="Y32" s="188"/>
      <c r="Z32" s="188"/>
      <c r="AA32" s="188"/>
      <c r="AB32" s="188"/>
    </row>
    <row r="33" spans="1:28" x14ac:dyDescent="0.2">
      <c r="A33" s="83" t="s">
        <v>11</v>
      </c>
      <c r="B33" s="84" t="s">
        <v>47</v>
      </c>
      <c r="C33" s="80"/>
      <c r="D33" s="80"/>
      <c r="E33" s="80"/>
      <c r="F33" s="81">
        <f>+L14</f>
        <v>656887</v>
      </c>
      <c r="G33" s="82" t="s">
        <v>53</v>
      </c>
      <c r="H33" s="85" t="s">
        <v>52</v>
      </c>
      <c r="I33" s="85" t="s">
        <v>1</v>
      </c>
      <c r="J33" s="85" t="s">
        <v>2</v>
      </c>
      <c r="K33" s="86"/>
      <c r="L33" s="88" t="s">
        <v>52</v>
      </c>
      <c r="M33" s="89" t="s">
        <v>35</v>
      </c>
      <c r="N33" s="88" t="s">
        <v>1</v>
      </c>
      <c r="O33" s="89" t="s">
        <v>67</v>
      </c>
      <c r="P33" s="89" t="s">
        <v>2</v>
      </c>
      <c r="Q33" s="157" t="s">
        <v>76</v>
      </c>
      <c r="R33" s="157" t="s">
        <v>60</v>
      </c>
      <c r="S33" s="90" t="s">
        <v>9</v>
      </c>
      <c r="T33" s="91" t="s">
        <v>74</v>
      </c>
      <c r="U33" s="92" t="s">
        <v>10</v>
      </c>
      <c r="V33" s="87" t="s">
        <v>56</v>
      </c>
      <c r="W33" s="87" t="s">
        <v>57</v>
      </c>
      <c r="X33" s="122" t="s">
        <v>58</v>
      </c>
      <c r="Y33" s="122" t="s">
        <v>68</v>
      </c>
      <c r="Z33" s="122" t="s">
        <v>62</v>
      </c>
      <c r="AA33" s="122" t="s">
        <v>72</v>
      </c>
      <c r="AB33" s="122" t="s">
        <v>59</v>
      </c>
    </row>
    <row r="34" spans="1:28" x14ac:dyDescent="0.2">
      <c r="A34" s="83" t="s">
        <v>11</v>
      </c>
      <c r="B34" s="84" t="s">
        <v>13</v>
      </c>
      <c r="C34" s="84"/>
      <c r="D34" s="84"/>
      <c r="E34" s="84"/>
      <c r="F34" s="81">
        <f>+M7</f>
        <v>124808</v>
      </c>
      <c r="G34" s="86" t="s">
        <v>22</v>
      </c>
      <c r="H34" s="93">
        <v>362422</v>
      </c>
      <c r="I34" s="93">
        <f t="shared" ref="I34:I45" si="10">ROUND((H34*0.19),0)</f>
        <v>68860</v>
      </c>
      <c r="J34" s="93">
        <f>SUM(H34:I34)</f>
        <v>431282</v>
      </c>
      <c r="K34" s="86"/>
      <c r="L34" s="96">
        <v>206080</v>
      </c>
      <c r="M34" s="96">
        <v>0</v>
      </c>
      <c r="N34" s="96">
        <v>39155</v>
      </c>
      <c r="O34" s="97">
        <v>0</v>
      </c>
      <c r="P34" s="97">
        <f>SUM(L34:O34)</f>
        <v>245235</v>
      </c>
      <c r="Q34" s="158">
        <v>0</v>
      </c>
      <c r="R34" s="158">
        <v>0</v>
      </c>
      <c r="S34" s="98">
        <v>0</v>
      </c>
      <c r="T34" s="98">
        <f>+S34*0.13</f>
        <v>0</v>
      </c>
      <c r="U34" s="98">
        <f t="shared" ref="U34:U45" si="11">+S34-T34</f>
        <v>0</v>
      </c>
      <c r="V34" s="94">
        <v>0.1</v>
      </c>
      <c r="W34" s="95">
        <f t="shared" ref="W34:W45" si="12">ROUND((H34*V34),2)</f>
        <v>36242.199999999997</v>
      </c>
      <c r="X34" s="123">
        <v>0</v>
      </c>
      <c r="Y34" s="123">
        <v>0</v>
      </c>
      <c r="Z34" s="123">
        <v>48000</v>
      </c>
      <c r="AA34" s="123">
        <v>0</v>
      </c>
      <c r="AB34" s="123">
        <v>30084</v>
      </c>
    </row>
    <row r="35" spans="1:28" x14ac:dyDescent="0.2">
      <c r="A35" s="83" t="s">
        <v>11</v>
      </c>
      <c r="B35" s="99" t="s">
        <v>45</v>
      </c>
      <c r="C35" s="84"/>
      <c r="D35" s="84"/>
      <c r="E35" s="84"/>
      <c r="F35" s="100">
        <f>+M10</f>
        <v>0</v>
      </c>
      <c r="G35" s="86" t="s">
        <v>23</v>
      </c>
      <c r="H35" s="93">
        <v>727324</v>
      </c>
      <c r="I35" s="93">
        <v>138191</v>
      </c>
      <c r="J35" s="93">
        <f t="shared" ref="J35:J45" si="13">SUM(H35:I35)</f>
        <v>865515</v>
      </c>
      <c r="K35" s="86"/>
      <c r="L35" s="96">
        <v>24120</v>
      </c>
      <c r="M35" s="96">
        <v>0</v>
      </c>
      <c r="N35" s="96">
        <v>4583</v>
      </c>
      <c r="O35" s="97">
        <v>0</v>
      </c>
      <c r="P35" s="97">
        <f t="shared" ref="P35:P45" si="14">SUM(L35:O35)</f>
        <v>28703</v>
      </c>
      <c r="Q35" s="158">
        <v>0</v>
      </c>
      <c r="R35" s="158">
        <v>0</v>
      </c>
      <c r="S35" s="98">
        <v>0</v>
      </c>
      <c r="T35" s="98">
        <f t="shared" ref="T35:T45" si="15">+S35*0.13</f>
        <v>0</v>
      </c>
      <c r="U35" s="98">
        <f t="shared" si="11"/>
        <v>0</v>
      </c>
      <c r="V35" s="94">
        <v>0.1</v>
      </c>
      <c r="W35" s="95">
        <f t="shared" si="12"/>
        <v>72732.399999999994</v>
      </c>
      <c r="X35" s="123">
        <v>0</v>
      </c>
      <c r="Y35" s="123">
        <v>0</v>
      </c>
      <c r="Z35" s="123">
        <v>48000</v>
      </c>
      <c r="AA35" s="123">
        <v>0</v>
      </c>
      <c r="AB35" s="123">
        <v>0</v>
      </c>
    </row>
    <row r="36" spans="1:28" s="4" customFormat="1" x14ac:dyDescent="0.2">
      <c r="A36" s="83" t="s">
        <v>11</v>
      </c>
      <c r="B36" s="101" t="s">
        <v>64</v>
      </c>
      <c r="C36" s="101"/>
      <c r="D36" s="84"/>
      <c r="E36" s="84"/>
      <c r="F36" s="102">
        <v>0</v>
      </c>
      <c r="G36" s="86" t="s">
        <v>24</v>
      </c>
      <c r="H36" s="93">
        <v>3119121</v>
      </c>
      <c r="I36" s="93">
        <f t="shared" si="10"/>
        <v>592633</v>
      </c>
      <c r="J36" s="93">
        <f t="shared" si="13"/>
        <v>3711754</v>
      </c>
      <c r="K36" s="86"/>
      <c r="L36" s="96">
        <v>25050</v>
      </c>
      <c r="M36" s="96">
        <v>0</v>
      </c>
      <c r="N36" s="96">
        <v>4760</v>
      </c>
      <c r="O36" s="97">
        <v>0</v>
      </c>
      <c r="P36" s="97">
        <f t="shared" si="14"/>
        <v>29810</v>
      </c>
      <c r="Q36" s="158">
        <v>0</v>
      </c>
      <c r="R36" s="158">
        <v>0</v>
      </c>
      <c r="S36" s="98">
        <v>0</v>
      </c>
      <c r="T36" s="98">
        <f t="shared" si="15"/>
        <v>0</v>
      </c>
      <c r="U36" s="98">
        <f t="shared" si="11"/>
        <v>0</v>
      </c>
      <c r="V36" s="94">
        <v>0.1</v>
      </c>
      <c r="W36" s="95">
        <f t="shared" si="12"/>
        <v>311912.09999999998</v>
      </c>
      <c r="X36" s="123">
        <v>0</v>
      </c>
      <c r="Y36" s="123">
        <v>0</v>
      </c>
      <c r="Z36" s="123">
        <v>48000</v>
      </c>
      <c r="AA36" s="123">
        <v>0</v>
      </c>
      <c r="AB36" s="123">
        <v>0</v>
      </c>
    </row>
    <row r="37" spans="1:28" s="4" customFormat="1" x14ac:dyDescent="0.2">
      <c r="A37" s="83" t="s">
        <v>11</v>
      </c>
      <c r="B37" s="84" t="s">
        <v>63</v>
      </c>
      <c r="C37" s="84"/>
      <c r="D37" s="84"/>
      <c r="E37" s="84"/>
      <c r="F37" s="103">
        <f>SUM(F34:F35)</f>
        <v>124808</v>
      </c>
      <c r="G37" s="86" t="s">
        <v>25</v>
      </c>
      <c r="H37" s="93">
        <v>548065</v>
      </c>
      <c r="I37" s="93">
        <f t="shared" si="10"/>
        <v>104132</v>
      </c>
      <c r="J37" s="93">
        <f t="shared" si="13"/>
        <v>652197</v>
      </c>
      <c r="K37" s="93"/>
      <c r="L37" s="96">
        <v>93368</v>
      </c>
      <c r="M37" s="96">
        <v>0</v>
      </c>
      <c r="N37" s="96">
        <v>18310</v>
      </c>
      <c r="O37" s="97">
        <v>0</v>
      </c>
      <c r="P37" s="97">
        <f t="shared" si="14"/>
        <v>111678</v>
      </c>
      <c r="Q37" s="158">
        <v>0</v>
      </c>
      <c r="R37" s="158">
        <v>0</v>
      </c>
      <c r="S37" s="98">
        <v>0</v>
      </c>
      <c r="T37" s="98">
        <f t="shared" si="15"/>
        <v>0</v>
      </c>
      <c r="U37" s="98">
        <f t="shared" si="11"/>
        <v>0</v>
      </c>
      <c r="V37" s="94">
        <v>0.1</v>
      </c>
      <c r="W37" s="95">
        <f t="shared" si="12"/>
        <v>54806.5</v>
      </c>
      <c r="X37" s="123">
        <v>0</v>
      </c>
      <c r="Y37" s="123">
        <v>0</v>
      </c>
      <c r="Z37" s="123">
        <v>48000</v>
      </c>
      <c r="AA37" s="123">
        <v>0</v>
      </c>
      <c r="AB37" s="123">
        <v>0</v>
      </c>
    </row>
    <row r="38" spans="1:28" s="4" customFormat="1" x14ac:dyDescent="0.2">
      <c r="A38" s="83" t="s">
        <v>11</v>
      </c>
      <c r="B38" s="99" t="s">
        <v>14</v>
      </c>
      <c r="C38" s="84"/>
      <c r="D38" s="84"/>
      <c r="E38" s="84"/>
      <c r="F38" s="100">
        <f>-N20</f>
        <v>-20381</v>
      </c>
      <c r="G38" s="86" t="s">
        <v>26</v>
      </c>
      <c r="H38" s="93">
        <v>238087</v>
      </c>
      <c r="I38" s="93">
        <f t="shared" si="10"/>
        <v>45237</v>
      </c>
      <c r="J38" s="93">
        <f t="shared" si="13"/>
        <v>283324</v>
      </c>
      <c r="K38" s="93"/>
      <c r="L38" s="96">
        <v>111383</v>
      </c>
      <c r="M38" s="96">
        <v>0</v>
      </c>
      <c r="N38" s="96">
        <v>21163</v>
      </c>
      <c r="O38" s="97">
        <v>0</v>
      </c>
      <c r="P38" s="97">
        <f t="shared" si="14"/>
        <v>132546</v>
      </c>
      <c r="Q38" s="158">
        <v>0</v>
      </c>
      <c r="R38" s="158">
        <v>0</v>
      </c>
      <c r="S38" s="98">
        <v>0</v>
      </c>
      <c r="T38" s="98">
        <f t="shared" si="15"/>
        <v>0</v>
      </c>
      <c r="U38" s="98">
        <f t="shared" si="11"/>
        <v>0</v>
      </c>
      <c r="V38" s="94">
        <v>0.1</v>
      </c>
      <c r="W38" s="95">
        <f t="shared" si="12"/>
        <v>23808.7</v>
      </c>
      <c r="X38" s="123">
        <v>0</v>
      </c>
      <c r="Y38" s="123">
        <v>0</v>
      </c>
      <c r="Z38" s="123">
        <v>48000</v>
      </c>
      <c r="AA38" s="123">
        <v>0</v>
      </c>
      <c r="AB38" s="123">
        <v>0</v>
      </c>
    </row>
    <row r="39" spans="1:28" s="4" customFormat="1" x14ac:dyDescent="0.2">
      <c r="A39" s="83" t="s">
        <v>11</v>
      </c>
      <c r="B39" s="84" t="s">
        <v>46</v>
      </c>
      <c r="C39" s="84"/>
      <c r="D39" s="84"/>
      <c r="E39" s="84"/>
      <c r="F39" s="81">
        <f>-N23</f>
        <v>0</v>
      </c>
      <c r="G39" s="86" t="s">
        <v>27</v>
      </c>
      <c r="H39" s="93">
        <v>338803</v>
      </c>
      <c r="I39" s="93">
        <f t="shared" si="10"/>
        <v>64373</v>
      </c>
      <c r="J39" s="93">
        <f t="shared" si="13"/>
        <v>403176</v>
      </c>
      <c r="K39" s="93"/>
      <c r="L39" s="96">
        <v>111033</v>
      </c>
      <c r="M39" s="96">
        <v>0</v>
      </c>
      <c r="N39" s="96">
        <v>21095</v>
      </c>
      <c r="O39" s="97">
        <v>0</v>
      </c>
      <c r="P39" s="97">
        <f t="shared" si="14"/>
        <v>132128</v>
      </c>
      <c r="Q39" s="158">
        <v>0</v>
      </c>
      <c r="R39" s="158">
        <v>0</v>
      </c>
      <c r="S39" s="98">
        <v>0</v>
      </c>
      <c r="T39" s="98">
        <f t="shared" si="15"/>
        <v>0</v>
      </c>
      <c r="U39" s="98">
        <f t="shared" si="11"/>
        <v>0</v>
      </c>
      <c r="V39" s="94">
        <v>0.15</v>
      </c>
      <c r="W39" s="95">
        <f t="shared" si="12"/>
        <v>50820.45</v>
      </c>
      <c r="X39" s="123">
        <v>0</v>
      </c>
      <c r="Y39" s="123">
        <v>0</v>
      </c>
      <c r="Z39" s="123">
        <v>48000</v>
      </c>
      <c r="AA39" s="123">
        <v>0</v>
      </c>
      <c r="AB39" s="123">
        <v>0</v>
      </c>
    </row>
    <row r="40" spans="1:28" s="4" customFormat="1" x14ac:dyDescent="0.2">
      <c r="A40" s="83" t="s">
        <v>11</v>
      </c>
      <c r="B40" s="84" t="s">
        <v>15</v>
      </c>
      <c r="C40" s="84"/>
      <c r="D40" s="84"/>
      <c r="E40" s="84"/>
      <c r="F40" s="81">
        <f>SUM(F37:F39)</f>
        <v>104427</v>
      </c>
      <c r="G40" s="86" t="s">
        <v>28</v>
      </c>
      <c r="H40" s="93">
        <v>3555847</v>
      </c>
      <c r="I40" s="93">
        <f t="shared" si="10"/>
        <v>675611</v>
      </c>
      <c r="J40" s="93">
        <f t="shared" si="13"/>
        <v>4231458</v>
      </c>
      <c r="K40" s="93"/>
      <c r="L40" s="96">
        <v>1032354</v>
      </c>
      <c r="M40" s="96">
        <v>0</v>
      </c>
      <c r="N40" s="96">
        <v>196148</v>
      </c>
      <c r="O40" s="97">
        <v>0</v>
      </c>
      <c r="P40" s="97">
        <f t="shared" si="14"/>
        <v>1228502</v>
      </c>
      <c r="Q40" s="158">
        <v>0</v>
      </c>
      <c r="R40" s="158">
        <v>0</v>
      </c>
      <c r="S40" s="98">
        <v>0</v>
      </c>
      <c r="T40" s="98">
        <f t="shared" si="15"/>
        <v>0</v>
      </c>
      <c r="U40" s="98">
        <f t="shared" si="11"/>
        <v>0</v>
      </c>
      <c r="V40" s="94">
        <v>5.0000000000000001E-3</v>
      </c>
      <c r="W40" s="95">
        <f t="shared" si="12"/>
        <v>17779.240000000002</v>
      </c>
      <c r="X40" s="123">
        <v>0</v>
      </c>
      <c r="Y40" s="123">
        <v>0</v>
      </c>
      <c r="Z40" s="123">
        <v>48000</v>
      </c>
      <c r="AA40" s="123">
        <v>0</v>
      </c>
      <c r="AB40" s="123">
        <v>31537</v>
      </c>
    </row>
    <row r="41" spans="1:28" s="4" customFormat="1" x14ac:dyDescent="0.2">
      <c r="A41" s="83" t="s">
        <v>11</v>
      </c>
      <c r="B41" s="84" t="s">
        <v>34</v>
      </c>
      <c r="C41" s="84"/>
      <c r="D41" s="84"/>
      <c r="E41" s="84"/>
      <c r="F41" s="81">
        <f>+M30</f>
        <v>0</v>
      </c>
      <c r="G41" s="86" t="s">
        <v>29</v>
      </c>
      <c r="H41" s="93">
        <v>481797</v>
      </c>
      <c r="I41" s="93">
        <v>91542</v>
      </c>
      <c r="J41" s="93">
        <f t="shared" si="13"/>
        <v>573339</v>
      </c>
      <c r="K41" s="93"/>
      <c r="L41" s="96">
        <v>276608</v>
      </c>
      <c r="M41" s="96">
        <v>0</v>
      </c>
      <c r="N41" s="96">
        <v>52555</v>
      </c>
      <c r="O41" s="97">
        <v>0</v>
      </c>
      <c r="P41" s="97">
        <f t="shared" si="14"/>
        <v>329163</v>
      </c>
      <c r="Q41" s="158">
        <v>0</v>
      </c>
      <c r="R41" s="158">
        <v>0</v>
      </c>
      <c r="S41" s="98">
        <v>0</v>
      </c>
      <c r="T41" s="98">
        <f t="shared" si="15"/>
        <v>0</v>
      </c>
      <c r="U41" s="98">
        <f t="shared" si="11"/>
        <v>0</v>
      </c>
      <c r="V41" s="94">
        <v>0.1</v>
      </c>
      <c r="W41" s="95">
        <f t="shared" si="12"/>
        <v>48179.7</v>
      </c>
      <c r="X41" s="123">
        <v>0</v>
      </c>
      <c r="Y41" s="123">
        <v>0</v>
      </c>
      <c r="Z41" s="123">
        <v>48000</v>
      </c>
      <c r="AA41" s="123">
        <v>0</v>
      </c>
      <c r="AB41" s="123">
        <v>0</v>
      </c>
    </row>
    <row r="42" spans="1:28" s="4" customFormat="1" x14ac:dyDescent="0.2">
      <c r="A42" s="83" t="s">
        <v>11</v>
      </c>
      <c r="B42" s="84" t="s">
        <v>12</v>
      </c>
      <c r="C42" s="84"/>
      <c r="D42" s="104">
        <v>0.08</v>
      </c>
      <c r="E42" s="84"/>
      <c r="F42" s="81">
        <f>ROUND((L14*D42),0)</f>
        <v>52551</v>
      </c>
      <c r="G42" s="86" t="s">
        <v>30</v>
      </c>
      <c r="H42" s="93">
        <v>656887</v>
      </c>
      <c r="I42" s="93">
        <f t="shared" si="10"/>
        <v>124809</v>
      </c>
      <c r="J42" s="93">
        <f t="shared" si="13"/>
        <v>781696</v>
      </c>
      <c r="K42" s="93"/>
      <c r="L42" s="96">
        <v>107268</v>
      </c>
      <c r="M42" s="96">
        <v>0</v>
      </c>
      <c r="N42" s="96">
        <v>20381</v>
      </c>
      <c r="O42" s="97">
        <v>0</v>
      </c>
      <c r="P42" s="97">
        <f t="shared" si="14"/>
        <v>127649</v>
      </c>
      <c r="Q42" s="158">
        <v>0</v>
      </c>
      <c r="R42" s="158">
        <v>0</v>
      </c>
      <c r="S42" s="98">
        <v>0</v>
      </c>
      <c r="T42" s="98">
        <f t="shared" si="15"/>
        <v>0</v>
      </c>
      <c r="U42" s="98">
        <f t="shared" si="11"/>
        <v>0</v>
      </c>
      <c r="V42" s="94">
        <v>0.08</v>
      </c>
      <c r="W42" s="95">
        <f t="shared" si="12"/>
        <v>52550.96</v>
      </c>
      <c r="X42" s="123">
        <v>0</v>
      </c>
      <c r="Y42" s="123">
        <v>0</v>
      </c>
      <c r="Z42" s="123">
        <v>48000</v>
      </c>
      <c r="AA42" s="123">
        <v>0</v>
      </c>
      <c r="AB42" s="123">
        <v>0</v>
      </c>
    </row>
    <row r="43" spans="1:28" s="4" customFormat="1" x14ac:dyDescent="0.2">
      <c r="A43" s="83" t="s">
        <v>11</v>
      </c>
      <c r="B43" s="105" t="s">
        <v>66</v>
      </c>
      <c r="C43" s="106"/>
      <c r="D43" s="106"/>
      <c r="E43" s="84"/>
      <c r="F43" s="107">
        <v>0</v>
      </c>
      <c r="G43" s="86" t="s">
        <v>31</v>
      </c>
      <c r="H43" s="93">
        <v>0</v>
      </c>
      <c r="I43" s="93">
        <f t="shared" si="10"/>
        <v>0</v>
      </c>
      <c r="J43" s="93">
        <f t="shared" si="13"/>
        <v>0</v>
      </c>
      <c r="K43" s="93"/>
      <c r="L43" s="96">
        <v>0</v>
      </c>
      <c r="M43" s="96">
        <v>0</v>
      </c>
      <c r="N43" s="96">
        <v>0</v>
      </c>
      <c r="O43" s="97">
        <v>0</v>
      </c>
      <c r="P43" s="97">
        <f t="shared" si="14"/>
        <v>0</v>
      </c>
      <c r="Q43" s="158">
        <v>0</v>
      </c>
      <c r="R43" s="158">
        <v>0</v>
      </c>
      <c r="S43" s="98">
        <v>0</v>
      </c>
      <c r="T43" s="98">
        <f t="shared" si="15"/>
        <v>0</v>
      </c>
      <c r="U43" s="98">
        <f t="shared" si="11"/>
        <v>0</v>
      </c>
      <c r="V43" s="94"/>
      <c r="W43" s="95">
        <f t="shared" si="12"/>
        <v>0</v>
      </c>
      <c r="X43" s="123">
        <v>0</v>
      </c>
      <c r="Y43" s="123">
        <v>0</v>
      </c>
      <c r="Z43" s="123">
        <v>0</v>
      </c>
      <c r="AA43" s="123">
        <v>0</v>
      </c>
      <c r="AB43" s="123">
        <v>0</v>
      </c>
    </row>
    <row r="44" spans="1:28" s="4" customFormat="1" x14ac:dyDescent="0.2">
      <c r="A44" s="83" t="s">
        <v>11</v>
      </c>
      <c r="B44" s="106" t="s">
        <v>19</v>
      </c>
      <c r="C44" s="106"/>
      <c r="D44" s="106"/>
      <c r="E44" s="84"/>
      <c r="F44" s="108">
        <f>SUM(F40:F42)</f>
        <v>156978</v>
      </c>
      <c r="G44" s="86" t="s">
        <v>32</v>
      </c>
      <c r="H44" s="93">
        <v>0</v>
      </c>
      <c r="I44" s="93">
        <f t="shared" si="10"/>
        <v>0</v>
      </c>
      <c r="J44" s="93">
        <f t="shared" si="13"/>
        <v>0</v>
      </c>
      <c r="K44" s="93"/>
      <c r="L44" s="96">
        <v>0</v>
      </c>
      <c r="M44" s="96">
        <v>0</v>
      </c>
      <c r="N44" s="96">
        <v>0</v>
      </c>
      <c r="O44" s="97">
        <v>0</v>
      </c>
      <c r="P44" s="97">
        <f t="shared" si="14"/>
        <v>0</v>
      </c>
      <c r="Q44" s="158">
        <v>0</v>
      </c>
      <c r="R44" s="158">
        <v>0</v>
      </c>
      <c r="S44" s="98">
        <v>0</v>
      </c>
      <c r="T44" s="98">
        <f t="shared" si="15"/>
        <v>0</v>
      </c>
      <c r="U44" s="98">
        <f t="shared" si="11"/>
        <v>0</v>
      </c>
      <c r="V44" s="94"/>
      <c r="W44" s="95">
        <f t="shared" si="12"/>
        <v>0</v>
      </c>
      <c r="X44" s="123">
        <v>0</v>
      </c>
      <c r="Y44" s="123">
        <v>0</v>
      </c>
      <c r="Z44" s="123">
        <v>0</v>
      </c>
      <c r="AA44" s="123">
        <v>0</v>
      </c>
      <c r="AB44" s="123">
        <v>0</v>
      </c>
    </row>
    <row r="45" spans="1:28" s="4" customFormat="1" x14ac:dyDescent="0.2">
      <c r="A45" s="109" t="s">
        <v>20</v>
      </c>
      <c r="B45" s="110"/>
      <c r="C45" s="110"/>
      <c r="D45" s="110"/>
      <c r="E45" s="110"/>
      <c r="F45" s="111">
        <f>+F40+F42</f>
        <v>156978</v>
      </c>
      <c r="G45" s="86" t="s">
        <v>33</v>
      </c>
      <c r="H45" s="93">
        <v>0</v>
      </c>
      <c r="I45" s="93">
        <f t="shared" si="10"/>
        <v>0</v>
      </c>
      <c r="J45" s="93">
        <f t="shared" si="13"/>
        <v>0</v>
      </c>
      <c r="K45" s="93"/>
      <c r="L45" s="96">
        <v>0</v>
      </c>
      <c r="M45" s="96">
        <v>0</v>
      </c>
      <c r="N45" s="96">
        <v>0</v>
      </c>
      <c r="O45" s="97">
        <v>0</v>
      </c>
      <c r="P45" s="97">
        <f t="shared" si="14"/>
        <v>0</v>
      </c>
      <c r="Q45" s="158">
        <v>0</v>
      </c>
      <c r="R45" s="158">
        <v>0</v>
      </c>
      <c r="S45" s="98">
        <v>0</v>
      </c>
      <c r="T45" s="98">
        <f t="shared" si="15"/>
        <v>0</v>
      </c>
      <c r="U45" s="98">
        <f t="shared" si="11"/>
        <v>0</v>
      </c>
      <c r="V45" s="94"/>
      <c r="W45" s="95">
        <f t="shared" si="12"/>
        <v>0</v>
      </c>
      <c r="X45" s="123">
        <v>0</v>
      </c>
      <c r="Y45" s="123">
        <v>0</v>
      </c>
      <c r="Z45" s="123">
        <v>0</v>
      </c>
      <c r="AA45" s="123">
        <v>0</v>
      </c>
      <c r="AB45" s="123">
        <v>0</v>
      </c>
    </row>
    <row r="46" spans="1:28" s="4" customFormat="1" x14ac:dyDescent="0.2">
      <c r="A46" s="109" t="s">
        <v>21</v>
      </c>
      <c r="B46" s="110"/>
      <c r="C46" s="110"/>
      <c r="D46" s="110"/>
      <c r="E46" s="110"/>
      <c r="F46" s="112">
        <f>+F45/L14</f>
        <v>0.23897260868307638</v>
      </c>
      <c r="G46" s="113" t="s">
        <v>36</v>
      </c>
      <c r="H46" s="114">
        <f>SUM(H34:H45)</f>
        <v>10028353</v>
      </c>
      <c r="I46" s="114">
        <f>SUM(I34:I45)</f>
        <v>1905388</v>
      </c>
      <c r="J46" s="114">
        <f>SUM(J34:J45)</f>
        <v>11933741</v>
      </c>
      <c r="K46" s="93"/>
      <c r="L46" s="116">
        <f>SUM(L34:L45)</f>
        <v>1987264</v>
      </c>
      <c r="M46" s="116">
        <f t="shared" ref="M46:P46" si="16">SUM(M34:M45)</f>
        <v>0</v>
      </c>
      <c r="N46" s="116">
        <f t="shared" si="16"/>
        <v>378150</v>
      </c>
      <c r="O46" s="116">
        <f t="shared" si="16"/>
        <v>0</v>
      </c>
      <c r="P46" s="116">
        <f t="shared" si="16"/>
        <v>2365414</v>
      </c>
      <c r="Q46" s="159">
        <f>SUM(Q34:Q45)</f>
        <v>0</v>
      </c>
      <c r="R46" s="159">
        <f>SUM(R34:R45)</f>
        <v>0</v>
      </c>
      <c r="S46" s="117">
        <f>SUM(S34:S45)</f>
        <v>0</v>
      </c>
      <c r="T46" s="117">
        <f t="shared" ref="T46:U46" si="17">SUM(T34:T45)</f>
        <v>0</v>
      </c>
      <c r="U46" s="117">
        <f t="shared" si="17"/>
        <v>0</v>
      </c>
      <c r="V46" s="144">
        <f>SUM(V34:V45)</f>
        <v>0.83499999999999996</v>
      </c>
      <c r="W46" s="115">
        <f>SUM(W34:W45)</f>
        <v>668832.24999999988</v>
      </c>
      <c r="X46" s="124">
        <f>SUM(X34:X45)</f>
        <v>0</v>
      </c>
      <c r="Y46" s="124">
        <f t="shared" ref="Y46:AB46" si="18">SUM(Y34:Y45)</f>
        <v>0</v>
      </c>
      <c r="Z46" s="124">
        <f t="shared" si="18"/>
        <v>432000</v>
      </c>
      <c r="AA46" s="124">
        <f>SUM(AA34:AA45)</f>
        <v>0</v>
      </c>
      <c r="AB46" s="124">
        <f t="shared" si="18"/>
        <v>61621</v>
      </c>
    </row>
    <row r="47" spans="1:28" s="4" customFormat="1" x14ac:dyDescent="0.2">
      <c r="A47" s="118" t="s">
        <v>125</v>
      </c>
      <c r="B47" s="119"/>
      <c r="C47" s="119"/>
      <c r="D47" s="119"/>
      <c r="E47" s="119"/>
      <c r="F47" s="120">
        <f>+F40/L14</f>
        <v>0.15897254778980252</v>
      </c>
      <c r="G47" s="145" t="s">
        <v>54</v>
      </c>
      <c r="H47" s="146">
        <f>+H46/9</f>
        <v>1114261.4444444445</v>
      </c>
      <c r="I47" s="146">
        <f>+I46/9</f>
        <v>211709.77777777778</v>
      </c>
      <c r="J47" s="146">
        <f>+J46/9</f>
        <v>1325971.2222222222</v>
      </c>
      <c r="K47" s="145"/>
      <c r="L47" s="149">
        <f t="shared" ref="L47:AB47" si="19">+L46/9</f>
        <v>220807.11111111112</v>
      </c>
      <c r="M47" s="149">
        <f t="shared" si="19"/>
        <v>0</v>
      </c>
      <c r="N47" s="149">
        <f t="shared" si="19"/>
        <v>42016.666666666664</v>
      </c>
      <c r="O47" s="149">
        <f t="shared" si="19"/>
        <v>0</v>
      </c>
      <c r="P47" s="149">
        <f t="shared" si="19"/>
        <v>262823.77777777775</v>
      </c>
      <c r="Q47" s="160">
        <f t="shared" si="19"/>
        <v>0</v>
      </c>
      <c r="R47" s="160">
        <f t="shared" si="19"/>
        <v>0</v>
      </c>
      <c r="S47" s="150">
        <f t="shared" si="19"/>
        <v>0</v>
      </c>
      <c r="T47" s="150">
        <f t="shared" si="19"/>
        <v>0</v>
      </c>
      <c r="U47" s="150">
        <f t="shared" si="19"/>
        <v>0</v>
      </c>
      <c r="V47" s="147">
        <f t="shared" si="19"/>
        <v>9.2777777777777778E-2</v>
      </c>
      <c r="W47" s="148">
        <f t="shared" si="19"/>
        <v>74314.694444444438</v>
      </c>
      <c r="X47" s="151">
        <f t="shared" si="19"/>
        <v>0</v>
      </c>
      <c r="Y47" s="151">
        <f t="shared" si="19"/>
        <v>0</v>
      </c>
      <c r="Z47" s="151">
        <f t="shared" si="19"/>
        <v>48000</v>
      </c>
      <c r="AA47" s="151">
        <f t="shared" si="19"/>
        <v>0</v>
      </c>
      <c r="AB47" s="151">
        <f t="shared" si="19"/>
        <v>6846.7777777777774</v>
      </c>
    </row>
    <row r="48" spans="1:28" s="4" customFormat="1" x14ac:dyDescent="0.2">
      <c r="A48" s="2"/>
      <c r="B48" s="2"/>
      <c r="C48" s="2"/>
      <c r="D48" s="2"/>
      <c r="E48" s="2"/>
      <c r="F48" s="2"/>
      <c r="G48" s="2"/>
      <c r="Q48" s="2"/>
      <c r="R48" s="2"/>
      <c r="T48" s="2"/>
      <c r="U48" s="2"/>
    </row>
    <row r="49" spans="24:35" x14ac:dyDescent="0.2">
      <c r="X49" s="121"/>
      <c r="AB49" s="121"/>
      <c r="AD49" s="4"/>
      <c r="AF49" s="121"/>
      <c r="AI49" s="121">
        <v>-4.5</v>
      </c>
    </row>
    <row r="50" spans="24:35" x14ac:dyDescent="0.2">
      <c r="AD50" s="4"/>
    </row>
  </sheetData>
  <mergeCells count="12">
    <mergeCell ref="X32:AB32"/>
    <mergeCell ref="B3:D3"/>
    <mergeCell ref="E3:F3"/>
    <mergeCell ref="E4:F4"/>
    <mergeCell ref="E17:F17"/>
    <mergeCell ref="E27:F27"/>
    <mergeCell ref="A32:F32"/>
    <mergeCell ref="G32:K32"/>
    <mergeCell ref="L32:P32"/>
    <mergeCell ref="Q32:R32"/>
    <mergeCell ref="S32:U32"/>
    <mergeCell ref="V32:W32"/>
  </mergeCells>
  <pageMargins left="0.7" right="0.7" top="0.75" bottom="0.75" header="0.3" footer="0.3"/>
  <pageSetup orientation="portrait" horizontalDpi="200" verticalDpi="200" r:id="rId1"/>
  <ignoredErrors>
    <ignoredError sqref="M7:N12 N24" formula="1"/>
    <ignoredError sqref="P18:P19" formulaRange="1"/>
    <ignoredError sqref="P20" formula="1" formulaRange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5D501-AA1C-4949-8F34-FCC556BB02F7}">
  <dimension ref="A1:AK54"/>
  <sheetViews>
    <sheetView zoomScale="117" zoomScaleNormal="117" workbookViewId="0">
      <pane ySplit="4" topLeftCell="A14" activePane="bottomLeft" state="frozen"/>
      <selection pane="bottomLeft" activeCell="X27" sqref="X27"/>
    </sheetView>
  </sheetViews>
  <sheetFormatPr baseColWidth="10" defaultColWidth="11.42578125" defaultRowHeight="11.25" x14ac:dyDescent="0.2"/>
  <cols>
    <col min="1" max="3" width="3.7109375" style="2" customWidth="1"/>
    <col min="4" max="4" width="5.7109375" style="2" customWidth="1"/>
    <col min="5" max="5" width="3.7109375" style="2" customWidth="1"/>
    <col min="6" max="10" width="9.28515625" style="2" customWidth="1"/>
    <col min="11" max="11" width="1.7109375" style="2" customWidth="1"/>
    <col min="12" max="17" width="9.28515625" style="2" customWidth="1"/>
    <col min="18" max="18" width="9.28515625" style="4" customWidth="1"/>
    <col min="19" max="28" width="9.28515625" style="2" customWidth="1"/>
    <col min="29" max="16384" width="11.42578125" style="2"/>
  </cols>
  <sheetData>
    <row r="1" spans="1:22" s="4" customFormat="1" x14ac:dyDescent="0.2">
      <c r="A1" s="174" t="s">
        <v>105</v>
      </c>
      <c r="B1" s="175"/>
      <c r="C1" s="175"/>
      <c r="D1" s="175"/>
      <c r="E1" s="176"/>
      <c r="F1" s="176"/>
      <c r="G1" s="37" t="s">
        <v>44</v>
      </c>
      <c r="H1" s="50"/>
      <c r="I1" s="176"/>
      <c r="J1" s="176"/>
      <c r="K1" s="177"/>
      <c r="L1" s="176"/>
      <c r="M1" s="178" t="s">
        <v>116</v>
      </c>
      <c r="N1" s="177">
        <v>2023</v>
      </c>
      <c r="O1" s="3"/>
      <c r="P1" s="3"/>
      <c r="Q1" s="3"/>
    </row>
    <row r="2" spans="1:22" s="4" customFormat="1" x14ac:dyDescent="0.2">
      <c r="A2" s="5" t="s">
        <v>3</v>
      </c>
      <c r="B2" s="6"/>
      <c r="C2" s="6"/>
      <c r="D2" s="6"/>
      <c r="E2" s="6"/>
      <c r="F2" s="7"/>
      <c r="G2" s="2"/>
      <c r="H2" s="2"/>
      <c r="I2" s="2"/>
      <c r="J2" s="8"/>
      <c r="K2" s="8"/>
      <c r="L2" s="3"/>
      <c r="M2" s="3"/>
      <c r="N2" s="3"/>
      <c r="O2" s="3"/>
      <c r="P2" s="3"/>
      <c r="Q2" s="3"/>
    </row>
    <row r="3" spans="1:22" s="4" customFormat="1" x14ac:dyDescent="0.2">
      <c r="A3" s="9" t="s">
        <v>41</v>
      </c>
      <c r="B3" s="189" t="s">
        <v>40</v>
      </c>
      <c r="C3" s="189"/>
      <c r="D3" s="189"/>
      <c r="E3" s="190" t="s">
        <v>82</v>
      </c>
      <c r="F3" s="190"/>
      <c r="G3" s="10"/>
      <c r="H3" s="10"/>
      <c r="I3" s="10"/>
      <c r="J3" s="10"/>
      <c r="K3" s="10"/>
      <c r="L3" s="11"/>
      <c r="M3" s="11"/>
      <c r="N3" s="11"/>
      <c r="O3" s="11"/>
      <c r="P3" s="11"/>
      <c r="Q3" s="11"/>
    </row>
    <row r="4" spans="1:22" s="4" customFormat="1" x14ac:dyDescent="0.2">
      <c r="A4" s="9" t="s">
        <v>42</v>
      </c>
      <c r="B4" s="12" t="s">
        <v>37</v>
      </c>
      <c r="C4" s="12" t="s">
        <v>38</v>
      </c>
      <c r="D4" s="12" t="s">
        <v>39</v>
      </c>
      <c r="E4" s="190" t="s">
        <v>81</v>
      </c>
      <c r="F4" s="190"/>
      <c r="G4" s="9"/>
      <c r="H4" s="9" t="s">
        <v>0</v>
      </c>
      <c r="I4" s="9"/>
      <c r="J4" s="9" t="s">
        <v>5</v>
      </c>
      <c r="K4" s="9"/>
      <c r="L4" s="9" t="s">
        <v>52</v>
      </c>
      <c r="M4" s="9" t="s">
        <v>1</v>
      </c>
      <c r="N4" s="9" t="s">
        <v>2</v>
      </c>
      <c r="O4" s="2"/>
      <c r="P4" s="2"/>
      <c r="Q4" s="2"/>
    </row>
    <row r="5" spans="1:22" s="4" customFormat="1" x14ac:dyDescent="0.2">
      <c r="A5" s="13">
        <v>1</v>
      </c>
      <c r="B5" s="13">
        <v>7</v>
      </c>
      <c r="C5" s="13">
        <v>8</v>
      </c>
      <c r="D5" s="14">
        <v>2023</v>
      </c>
      <c r="E5" s="14" t="s">
        <v>77</v>
      </c>
      <c r="F5" s="167">
        <v>44</v>
      </c>
      <c r="G5" s="15" t="s">
        <v>95</v>
      </c>
      <c r="H5" s="15"/>
      <c r="I5" s="15"/>
      <c r="J5" s="168">
        <v>99061000</v>
      </c>
      <c r="K5" s="14">
        <v>2</v>
      </c>
      <c r="L5" s="16">
        <v>7566</v>
      </c>
      <c r="M5" s="16">
        <f t="shared" ref="M5:M8" si="0">ROUND((L5*19%),0)</f>
        <v>1438</v>
      </c>
      <c r="N5" s="16">
        <f>ROUND((L5+M5),0)</f>
        <v>9004</v>
      </c>
      <c r="O5" s="2"/>
      <c r="P5" s="2"/>
      <c r="Q5" s="2"/>
    </row>
    <row r="6" spans="1:22" s="4" customFormat="1" x14ac:dyDescent="0.2">
      <c r="A6" s="13">
        <v>2</v>
      </c>
      <c r="B6" s="13">
        <v>7</v>
      </c>
      <c r="C6" s="13">
        <v>8</v>
      </c>
      <c r="D6" s="14">
        <v>2023</v>
      </c>
      <c r="E6" s="14" t="s">
        <v>77</v>
      </c>
      <c r="F6" s="167">
        <v>45</v>
      </c>
      <c r="G6" s="15" t="s">
        <v>95</v>
      </c>
      <c r="H6" s="15"/>
      <c r="I6" s="15"/>
      <c r="J6" s="168">
        <v>99061000</v>
      </c>
      <c r="K6" s="14">
        <v>2</v>
      </c>
      <c r="L6" s="16">
        <v>48278</v>
      </c>
      <c r="M6" s="16">
        <f t="shared" si="0"/>
        <v>9173</v>
      </c>
      <c r="N6" s="16">
        <f t="shared" ref="N6:N8" si="1">ROUND((L6+M6),0)</f>
        <v>57451</v>
      </c>
      <c r="O6" s="2"/>
      <c r="P6" s="2"/>
      <c r="Q6" s="2"/>
    </row>
    <row r="7" spans="1:22" s="4" customFormat="1" x14ac:dyDescent="0.2">
      <c r="A7" s="13">
        <v>3</v>
      </c>
      <c r="B7" s="13">
        <v>22</v>
      </c>
      <c r="C7" s="13">
        <v>8</v>
      </c>
      <c r="D7" s="14">
        <v>2023</v>
      </c>
      <c r="E7" s="14" t="s">
        <v>77</v>
      </c>
      <c r="F7" s="167">
        <v>46</v>
      </c>
      <c r="G7" s="15" t="s">
        <v>95</v>
      </c>
      <c r="H7" s="15"/>
      <c r="I7" s="15"/>
      <c r="J7" s="168">
        <v>99061000</v>
      </c>
      <c r="K7" s="14">
        <v>2</v>
      </c>
      <c r="L7" s="16">
        <v>332459</v>
      </c>
      <c r="M7" s="16">
        <f t="shared" si="0"/>
        <v>63167</v>
      </c>
      <c r="N7" s="16">
        <f t="shared" si="1"/>
        <v>395626</v>
      </c>
      <c r="O7" s="2"/>
      <c r="P7" s="2"/>
      <c r="Q7" s="2"/>
      <c r="R7" s="161"/>
      <c r="S7" s="162"/>
      <c r="T7" s="162"/>
      <c r="U7" s="162"/>
      <c r="V7" s="8"/>
    </row>
    <row r="8" spans="1:22" s="4" customFormat="1" x14ac:dyDescent="0.2">
      <c r="A8" s="13">
        <v>4</v>
      </c>
      <c r="B8" s="13">
        <v>22</v>
      </c>
      <c r="C8" s="13">
        <v>8</v>
      </c>
      <c r="D8" s="14">
        <v>2023</v>
      </c>
      <c r="E8" s="14" t="s">
        <v>77</v>
      </c>
      <c r="F8" s="167">
        <v>47</v>
      </c>
      <c r="G8" s="15" t="s">
        <v>95</v>
      </c>
      <c r="H8" s="15"/>
      <c r="I8" s="15"/>
      <c r="J8" s="168">
        <v>99061000</v>
      </c>
      <c r="K8" s="14">
        <v>2</v>
      </c>
      <c r="L8" s="16">
        <v>93494</v>
      </c>
      <c r="M8" s="16">
        <f t="shared" si="0"/>
        <v>17764</v>
      </c>
      <c r="N8" s="16">
        <f t="shared" si="1"/>
        <v>111258</v>
      </c>
      <c r="O8" s="2"/>
      <c r="P8" s="2"/>
      <c r="Q8" s="2"/>
      <c r="R8" s="161"/>
      <c r="S8" s="162"/>
      <c r="T8" s="162"/>
      <c r="U8" s="162"/>
      <c r="V8" s="8"/>
    </row>
    <row r="9" spans="1:22" s="4" customFormat="1" x14ac:dyDescent="0.2">
      <c r="A9" s="1" t="s">
        <v>51</v>
      </c>
      <c r="B9" s="17"/>
      <c r="C9" s="17"/>
      <c r="D9" s="18"/>
      <c r="E9" s="18"/>
      <c r="F9" s="19"/>
      <c r="G9" s="20"/>
      <c r="H9" s="20"/>
      <c r="I9" s="20"/>
      <c r="J9" s="18"/>
      <c r="K9" s="18"/>
      <c r="L9" s="21">
        <f>SUM(L5:L8)</f>
        <v>481797</v>
      </c>
      <c r="M9" s="21">
        <f>SUM(M5:M8)</f>
        <v>91542</v>
      </c>
      <c r="N9" s="21">
        <f>SUM(N5:N8)</f>
        <v>573339</v>
      </c>
      <c r="O9" s="2"/>
      <c r="P9" s="2"/>
    </row>
    <row r="10" spans="1:22" s="4" customFormat="1" x14ac:dyDescent="0.2">
      <c r="A10" s="22">
        <v>1</v>
      </c>
      <c r="B10" s="22"/>
      <c r="C10" s="22">
        <v>8</v>
      </c>
      <c r="D10" s="23">
        <v>2023</v>
      </c>
      <c r="E10" s="23" t="s">
        <v>78</v>
      </c>
      <c r="F10" s="22"/>
      <c r="G10" s="24"/>
      <c r="H10" s="24"/>
      <c r="I10" s="24"/>
      <c r="J10" s="169"/>
      <c r="K10" s="23"/>
      <c r="L10" s="170"/>
      <c r="M10" s="25">
        <f t="shared" ref="M10:M11" si="2">ROUND((L10*19%),0)</f>
        <v>0</v>
      </c>
      <c r="N10" s="25">
        <f>ROUND((L10+M10),0)</f>
        <v>0</v>
      </c>
      <c r="O10" s="2"/>
      <c r="P10" s="2"/>
      <c r="Q10" s="2"/>
    </row>
    <row r="11" spans="1:22" s="4" customFormat="1" x14ac:dyDescent="0.2">
      <c r="A11" s="22">
        <v>2</v>
      </c>
      <c r="B11" s="22"/>
      <c r="C11" s="22">
        <v>8</v>
      </c>
      <c r="D11" s="23">
        <v>2023</v>
      </c>
      <c r="E11" s="23" t="s">
        <v>78</v>
      </c>
      <c r="F11" s="22"/>
      <c r="G11" s="24"/>
      <c r="H11" s="24"/>
      <c r="I11" s="24"/>
      <c r="J11" s="169"/>
      <c r="K11" s="23"/>
      <c r="L11" s="170"/>
      <c r="M11" s="25">
        <f t="shared" si="2"/>
        <v>0</v>
      </c>
      <c r="N11" s="25">
        <f t="shared" ref="N11" si="3">ROUND((L11+M11),0)</f>
        <v>0</v>
      </c>
      <c r="O11" s="2"/>
      <c r="P11" s="2"/>
      <c r="Q11" s="2"/>
    </row>
    <row r="12" spans="1:22" s="4" customFormat="1" x14ac:dyDescent="0.2">
      <c r="A12" s="26" t="s">
        <v>50</v>
      </c>
      <c r="B12" s="27"/>
      <c r="C12" s="27"/>
      <c r="D12" s="28"/>
      <c r="E12" s="28"/>
      <c r="F12" s="29"/>
      <c r="G12" s="30"/>
      <c r="H12" s="30"/>
      <c r="I12" s="30"/>
      <c r="J12" s="28"/>
      <c r="K12" s="28"/>
      <c r="L12" s="31">
        <f>SUM(L10:L11)</f>
        <v>0</v>
      </c>
      <c r="M12" s="31">
        <f>SUM(M10:M11)</f>
        <v>0</v>
      </c>
      <c r="N12" s="31">
        <f>SUM(N10:N11)</f>
        <v>0</v>
      </c>
      <c r="O12" s="30"/>
      <c r="P12" s="30"/>
      <c r="Q12" s="2"/>
      <c r="R12" s="2"/>
      <c r="S12" s="2"/>
    </row>
    <row r="13" spans="1:22" s="4" customFormat="1" x14ac:dyDescent="0.2">
      <c r="A13" s="32">
        <v>1</v>
      </c>
      <c r="B13" s="32"/>
      <c r="C13" s="32">
        <v>8</v>
      </c>
      <c r="D13" s="33">
        <v>2023</v>
      </c>
      <c r="E13" s="33" t="s">
        <v>79</v>
      </c>
      <c r="F13" s="34"/>
      <c r="G13" s="35"/>
      <c r="H13" s="35"/>
      <c r="I13" s="35"/>
      <c r="J13" s="171"/>
      <c r="K13" s="33"/>
      <c r="L13" s="36"/>
      <c r="M13" s="36">
        <f t="shared" ref="M13:M14" si="4">ROUND((L13*19%),0)</f>
        <v>0</v>
      </c>
      <c r="N13" s="36">
        <f t="shared" ref="N13:N14" si="5">SUM(L13:M13)</f>
        <v>0</v>
      </c>
      <c r="O13" s="30"/>
      <c r="P13" s="30"/>
      <c r="R13" s="2"/>
    </row>
    <row r="14" spans="1:22" s="4" customFormat="1" x14ac:dyDescent="0.2">
      <c r="A14" s="32">
        <v>2</v>
      </c>
      <c r="B14" s="32"/>
      <c r="C14" s="32">
        <v>8</v>
      </c>
      <c r="D14" s="33">
        <v>2023</v>
      </c>
      <c r="E14" s="33" t="s">
        <v>79</v>
      </c>
      <c r="F14" s="34"/>
      <c r="G14" s="35"/>
      <c r="H14" s="35"/>
      <c r="I14" s="35"/>
      <c r="J14" s="33"/>
      <c r="K14" s="33"/>
      <c r="L14" s="36"/>
      <c r="M14" s="36">
        <f t="shared" si="4"/>
        <v>0</v>
      </c>
      <c r="N14" s="36">
        <f t="shared" si="5"/>
        <v>0</v>
      </c>
      <c r="O14" s="30"/>
      <c r="P14" s="30"/>
      <c r="Q14" s="2"/>
    </row>
    <row r="15" spans="1:22" s="4" customFormat="1" x14ac:dyDescent="0.2">
      <c r="A15" s="37" t="s">
        <v>65</v>
      </c>
      <c r="B15" s="38"/>
      <c r="C15" s="38"/>
      <c r="D15" s="39"/>
      <c r="E15" s="39"/>
      <c r="F15" s="40"/>
      <c r="G15" s="41"/>
      <c r="H15" s="41"/>
      <c r="I15" s="41"/>
      <c r="J15" s="39"/>
      <c r="K15" s="39"/>
      <c r="L15" s="42">
        <f>SUM(L13:L14)</f>
        <v>0</v>
      </c>
      <c r="M15" s="42">
        <f t="shared" ref="M15:N15" si="6">SUM(M13:M14)</f>
        <v>0</v>
      </c>
      <c r="N15" s="42">
        <f t="shared" si="6"/>
        <v>0</v>
      </c>
      <c r="O15" s="30"/>
      <c r="P15" s="30"/>
      <c r="Q15" s="2"/>
    </row>
    <row r="16" spans="1:22" s="4" customFormat="1" x14ac:dyDescent="0.2">
      <c r="A16" s="43" t="s">
        <v>16</v>
      </c>
      <c r="B16" s="44"/>
      <c r="C16" s="44"/>
      <c r="D16" s="44"/>
      <c r="E16" s="44"/>
      <c r="F16" s="45"/>
      <c r="G16" s="45"/>
      <c r="H16" s="45"/>
      <c r="I16" s="45"/>
      <c r="J16" s="46"/>
      <c r="K16" s="46"/>
      <c r="L16" s="47">
        <f>+L9+L12+L15</f>
        <v>481797</v>
      </c>
      <c r="M16" s="47">
        <f>+M9+M12+M15</f>
        <v>91542</v>
      </c>
      <c r="N16" s="47">
        <f>+N9+N12+N15</f>
        <v>573339</v>
      </c>
      <c r="O16" s="2"/>
      <c r="P16" s="2"/>
      <c r="Q16" s="2"/>
      <c r="S16" s="48"/>
      <c r="T16" s="49"/>
      <c r="U16" s="50"/>
    </row>
    <row r="17" spans="1:37" x14ac:dyDescent="0.2">
      <c r="S17" s="48"/>
      <c r="T17" s="49"/>
      <c r="U17" s="50"/>
    </row>
    <row r="18" spans="1:37" s="4" customFormat="1" x14ac:dyDescent="0.2">
      <c r="A18" s="51" t="s">
        <v>6</v>
      </c>
      <c r="B18" s="52"/>
      <c r="C18" s="52"/>
      <c r="D18" s="52"/>
      <c r="E18" s="53"/>
      <c r="F18" s="53"/>
      <c r="G18" s="2"/>
      <c r="H18" s="2"/>
      <c r="I18" s="2"/>
      <c r="J18" s="8"/>
      <c r="K18" s="8"/>
      <c r="L18" s="54"/>
      <c r="M18" s="3"/>
      <c r="N18" s="3"/>
      <c r="O18" s="3"/>
      <c r="P18" s="3"/>
      <c r="Q18" s="3"/>
      <c r="S18" s="48"/>
      <c r="T18" s="49"/>
      <c r="U18" s="50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x14ac:dyDescent="0.2">
      <c r="A19" s="55" t="s">
        <v>41</v>
      </c>
      <c r="B19" s="56" t="s">
        <v>37</v>
      </c>
      <c r="C19" s="56" t="s">
        <v>38</v>
      </c>
      <c r="D19" s="56" t="s">
        <v>39</v>
      </c>
      <c r="E19" s="191" t="s">
        <v>71</v>
      </c>
      <c r="F19" s="191"/>
      <c r="G19" s="55"/>
      <c r="H19" s="55" t="s">
        <v>4</v>
      </c>
      <c r="I19" s="55"/>
      <c r="J19" s="55" t="s">
        <v>5</v>
      </c>
      <c r="K19" s="55"/>
      <c r="L19" s="55" t="s">
        <v>52</v>
      </c>
      <c r="M19" s="55" t="s">
        <v>35</v>
      </c>
      <c r="N19" s="55" t="s">
        <v>1</v>
      </c>
      <c r="O19" s="55" t="s">
        <v>61</v>
      </c>
      <c r="P19" s="55" t="s">
        <v>2</v>
      </c>
    </row>
    <row r="20" spans="1:37" x14ac:dyDescent="0.2">
      <c r="A20" s="57">
        <v>1</v>
      </c>
      <c r="B20" s="58">
        <v>1</v>
      </c>
      <c r="C20" s="58">
        <v>8</v>
      </c>
      <c r="D20" s="58">
        <v>2023</v>
      </c>
      <c r="E20" s="59" t="s">
        <v>77</v>
      </c>
      <c r="F20" s="59">
        <v>69152103</v>
      </c>
      <c r="G20" s="53" t="s">
        <v>104</v>
      </c>
      <c r="H20" s="60"/>
      <c r="I20" s="53"/>
      <c r="J20" s="61">
        <v>76124890</v>
      </c>
      <c r="K20" s="59">
        <v>1</v>
      </c>
      <c r="L20" s="62">
        <v>80284</v>
      </c>
      <c r="M20" s="62">
        <v>0</v>
      </c>
      <c r="N20" s="62">
        <v>15254</v>
      </c>
      <c r="O20" s="62">
        <v>0</v>
      </c>
      <c r="P20" s="62">
        <f>SUM(L20:O20)</f>
        <v>95538</v>
      </c>
      <c r="Q20" s="121"/>
      <c r="R20" s="166"/>
      <c r="S20" s="166"/>
      <c r="T20" s="166"/>
      <c r="U20" s="166"/>
      <c r="V20" s="166"/>
    </row>
    <row r="21" spans="1:37" x14ac:dyDescent="0.2">
      <c r="A21" s="57">
        <v>2</v>
      </c>
      <c r="B21" s="58">
        <v>11</v>
      </c>
      <c r="C21" s="58">
        <v>8</v>
      </c>
      <c r="D21" s="58">
        <v>2023</v>
      </c>
      <c r="E21" s="59" t="s">
        <v>77</v>
      </c>
      <c r="F21" s="59">
        <v>31051</v>
      </c>
      <c r="G21" s="53" t="s">
        <v>119</v>
      </c>
      <c r="H21" s="60"/>
      <c r="I21" s="53"/>
      <c r="J21" s="61">
        <v>78016900</v>
      </c>
      <c r="K21" s="59">
        <v>1</v>
      </c>
      <c r="L21" s="62">
        <v>24034</v>
      </c>
      <c r="M21" s="62">
        <v>0</v>
      </c>
      <c r="N21" s="62">
        <v>4566</v>
      </c>
      <c r="O21" s="62">
        <v>0</v>
      </c>
      <c r="P21" s="62">
        <f t="shared" ref="P21:P23" si="7">SUM(L21:O21)</f>
        <v>28600</v>
      </c>
      <c r="U21" s="54"/>
      <c r="V21" s="8"/>
    </row>
    <row r="22" spans="1:37" x14ac:dyDescent="0.2">
      <c r="A22" s="57">
        <v>3</v>
      </c>
      <c r="B22" s="58">
        <v>23</v>
      </c>
      <c r="C22" s="58">
        <v>8</v>
      </c>
      <c r="D22" s="58">
        <v>2023</v>
      </c>
      <c r="E22" s="59" t="s">
        <v>77</v>
      </c>
      <c r="F22" s="59">
        <v>59169</v>
      </c>
      <c r="G22" s="53" t="s">
        <v>109</v>
      </c>
      <c r="H22" s="60"/>
      <c r="I22" s="53"/>
      <c r="J22" s="61">
        <v>77617950</v>
      </c>
      <c r="K22" s="59">
        <v>7</v>
      </c>
      <c r="L22" s="62">
        <v>25920</v>
      </c>
      <c r="M22" s="62">
        <v>0</v>
      </c>
      <c r="N22" s="62">
        <v>4925</v>
      </c>
      <c r="O22" s="62">
        <v>0</v>
      </c>
      <c r="P22" s="62">
        <f t="shared" si="7"/>
        <v>30845</v>
      </c>
      <c r="U22" s="54"/>
      <c r="V22" s="8"/>
    </row>
    <row r="23" spans="1:37" x14ac:dyDescent="0.2">
      <c r="A23" s="57">
        <v>4</v>
      </c>
      <c r="B23" s="58">
        <v>28</v>
      </c>
      <c r="C23" s="58">
        <v>8</v>
      </c>
      <c r="D23" s="58">
        <v>2023</v>
      </c>
      <c r="E23" s="59" t="s">
        <v>77</v>
      </c>
      <c r="F23" s="59">
        <v>34771</v>
      </c>
      <c r="G23" s="53" t="s">
        <v>86</v>
      </c>
      <c r="H23" s="60"/>
      <c r="I23" s="53"/>
      <c r="J23" s="61">
        <v>76277371</v>
      </c>
      <c r="K23" s="59">
        <v>6</v>
      </c>
      <c r="L23" s="62">
        <v>146370</v>
      </c>
      <c r="M23" s="62">
        <v>0</v>
      </c>
      <c r="N23" s="62">
        <v>27810</v>
      </c>
      <c r="O23" s="62">
        <v>0</v>
      </c>
      <c r="P23" s="62">
        <f t="shared" si="7"/>
        <v>174180</v>
      </c>
      <c r="R23" s="173"/>
      <c r="U23" s="173"/>
      <c r="W23" s="152"/>
    </row>
    <row r="24" spans="1:37" x14ac:dyDescent="0.2">
      <c r="A24" s="1" t="s">
        <v>49</v>
      </c>
      <c r="B24" s="17"/>
      <c r="C24" s="17"/>
      <c r="D24" s="17"/>
      <c r="E24" s="65"/>
      <c r="F24" s="19"/>
      <c r="G24" s="20"/>
      <c r="H24" s="20"/>
      <c r="I24" s="20"/>
      <c r="J24" s="18"/>
      <c r="K24" s="18"/>
      <c r="L24" s="21">
        <f>SUM(L20:L23)</f>
        <v>276608</v>
      </c>
      <c r="M24" s="21">
        <f>SUM(M20:M23)</f>
        <v>0</v>
      </c>
      <c r="N24" s="21">
        <f>SUM(N20:N23)</f>
        <v>52555</v>
      </c>
      <c r="O24" s="21">
        <f>SUM(O20:O23)</f>
        <v>0</v>
      </c>
      <c r="P24" s="21">
        <f>SUM(P20:P23)</f>
        <v>329163</v>
      </c>
      <c r="R24" s="121"/>
      <c r="S24" s="54"/>
      <c r="U24" s="172"/>
      <c r="V24" s="153"/>
      <c r="W24" s="153"/>
    </row>
    <row r="25" spans="1:37" x14ac:dyDescent="0.2">
      <c r="A25" s="66">
        <v>1</v>
      </c>
      <c r="B25" s="66"/>
      <c r="C25" s="66">
        <v>8</v>
      </c>
      <c r="D25" s="66">
        <v>2023</v>
      </c>
      <c r="E25" s="67" t="s">
        <v>78</v>
      </c>
      <c r="F25" s="68"/>
      <c r="G25" s="69"/>
      <c r="H25" s="70"/>
      <c r="I25" s="69"/>
      <c r="J25" s="71"/>
      <c r="K25" s="72"/>
      <c r="L25" s="73"/>
      <c r="M25" s="74">
        <v>0</v>
      </c>
      <c r="N25" s="74">
        <f t="shared" ref="N25:N26" si="8">ROUND((L25*19%),0)</f>
        <v>0</v>
      </c>
      <c r="O25" s="74">
        <v>0</v>
      </c>
      <c r="P25" s="74">
        <f>SUM(L25:O25)</f>
        <v>0</v>
      </c>
      <c r="R25" s="121"/>
      <c r="S25" s="4"/>
      <c r="U25" s="173"/>
      <c r="V25" s="153"/>
      <c r="W25" s="153"/>
    </row>
    <row r="26" spans="1:37" x14ac:dyDescent="0.2">
      <c r="A26" s="66">
        <v>2</v>
      </c>
      <c r="B26" s="66"/>
      <c r="C26" s="66">
        <v>8</v>
      </c>
      <c r="D26" s="66">
        <v>2023</v>
      </c>
      <c r="E26" s="67" t="s">
        <v>78</v>
      </c>
      <c r="F26" s="68"/>
      <c r="G26" s="69"/>
      <c r="H26" s="70"/>
      <c r="I26" s="69"/>
      <c r="J26" s="71"/>
      <c r="K26" s="72"/>
      <c r="L26" s="74"/>
      <c r="M26" s="74">
        <v>0</v>
      </c>
      <c r="N26" s="74">
        <f t="shared" si="8"/>
        <v>0</v>
      </c>
      <c r="O26" s="74">
        <v>0</v>
      </c>
      <c r="P26" s="74">
        <f>SUM(L26:O26)</f>
        <v>0</v>
      </c>
      <c r="R26" s="121"/>
      <c r="U26" s="173"/>
      <c r="V26" s="153"/>
      <c r="W26" s="153"/>
    </row>
    <row r="27" spans="1:37" x14ac:dyDescent="0.2">
      <c r="A27" s="26" t="s">
        <v>48</v>
      </c>
      <c r="B27" s="27"/>
      <c r="C27" s="27"/>
      <c r="D27" s="27"/>
      <c r="E27" s="75"/>
      <c r="F27" s="29"/>
      <c r="G27" s="30"/>
      <c r="H27" s="30"/>
      <c r="I27" s="30"/>
      <c r="J27" s="28"/>
      <c r="K27" s="28"/>
      <c r="L27" s="31">
        <f>SUM(L25:L26)</f>
        <v>0</v>
      </c>
      <c r="M27" s="31">
        <f>SUM(M25:M26)</f>
        <v>0</v>
      </c>
      <c r="N27" s="31">
        <f>SUM(N25:N26)</f>
        <v>0</v>
      </c>
      <c r="O27" s="31">
        <f>SUM(O25:O26)</f>
        <v>0</v>
      </c>
      <c r="P27" s="31">
        <f>SUM(P25:P26)</f>
        <v>0</v>
      </c>
      <c r="R27" s="121"/>
      <c r="U27" s="173"/>
      <c r="V27" s="153"/>
      <c r="W27" s="153"/>
    </row>
    <row r="28" spans="1:37" x14ac:dyDescent="0.2">
      <c r="A28" s="76" t="s">
        <v>17</v>
      </c>
      <c r="B28" s="56"/>
      <c r="C28" s="56"/>
      <c r="D28" s="56"/>
      <c r="E28" s="56"/>
      <c r="F28" s="77"/>
      <c r="G28" s="77"/>
      <c r="H28" s="77"/>
      <c r="I28" s="77"/>
      <c r="J28" s="78"/>
      <c r="K28" s="78"/>
      <c r="L28" s="79">
        <f>+L24+L27</f>
        <v>276608</v>
      </c>
      <c r="M28" s="79">
        <f>+M24-M27</f>
        <v>0</v>
      </c>
      <c r="N28" s="79">
        <f>N24+N27</f>
        <v>52555</v>
      </c>
      <c r="O28" s="79">
        <f>+O24-O27</f>
        <v>0</v>
      </c>
      <c r="P28" s="79">
        <f>+P24+P27</f>
        <v>329163</v>
      </c>
      <c r="R28" s="121"/>
      <c r="S28" s="4"/>
      <c r="U28" s="173"/>
      <c r="V28" s="153"/>
      <c r="W28" s="153"/>
    </row>
    <row r="29" spans="1:37" x14ac:dyDescent="0.2">
      <c r="R29" s="121"/>
      <c r="S29" s="121"/>
      <c r="T29" s="121"/>
      <c r="U29" s="173"/>
      <c r="V29" s="153"/>
      <c r="W29" s="154"/>
    </row>
    <row r="30" spans="1:37" x14ac:dyDescent="0.2">
      <c r="A30" s="125" t="s">
        <v>7</v>
      </c>
      <c r="B30" s="126"/>
      <c r="C30" s="126"/>
      <c r="D30" s="126"/>
      <c r="E30" s="126"/>
      <c r="F30" s="127"/>
      <c r="J30" s="8"/>
      <c r="K30" s="8"/>
      <c r="L30" s="3"/>
      <c r="M30" s="3"/>
      <c r="N30" s="3"/>
      <c r="O30" s="3"/>
      <c r="P30" s="3"/>
      <c r="Q30" s="3"/>
      <c r="R30" s="2"/>
      <c r="U30" s="4"/>
      <c r="V30" s="156"/>
      <c r="W30" s="155"/>
    </row>
    <row r="31" spans="1:37" x14ac:dyDescent="0.2">
      <c r="A31" s="128" t="s">
        <v>41</v>
      </c>
      <c r="B31" s="129" t="s">
        <v>70</v>
      </c>
      <c r="C31" s="129" t="s">
        <v>38</v>
      </c>
      <c r="D31" s="129" t="s">
        <v>39</v>
      </c>
      <c r="E31" s="192" t="s">
        <v>43</v>
      </c>
      <c r="F31" s="192"/>
      <c r="G31" s="128"/>
      <c r="H31" s="128" t="s">
        <v>8</v>
      </c>
      <c r="I31" s="128"/>
      <c r="J31" s="128" t="s">
        <v>5</v>
      </c>
      <c r="K31" s="128"/>
      <c r="L31" s="128" t="s">
        <v>9</v>
      </c>
      <c r="M31" s="128" t="s">
        <v>97</v>
      </c>
      <c r="N31" s="128" t="s">
        <v>10</v>
      </c>
      <c r="R31" s="2"/>
      <c r="U31" s="4"/>
      <c r="V31" s="156"/>
      <c r="W31" s="156"/>
    </row>
    <row r="32" spans="1:37" x14ac:dyDescent="0.2">
      <c r="A32" s="130">
        <v>1</v>
      </c>
      <c r="B32" s="131"/>
      <c r="C32" s="131">
        <v>8</v>
      </c>
      <c r="D32" s="131">
        <v>2023</v>
      </c>
      <c r="E32" s="132" t="s">
        <v>80</v>
      </c>
      <c r="F32" s="133"/>
      <c r="G32" s="137"/>
      <c r="H32" s="138"/>
      <c r="I32" s="138"/>
      <c r="J32" s="139"/>
      <c r="K32" s="132"/>
      <c r="L32" s="140"/>
      <c r="M32" s="141">
        <f>+L32*0.13</f>
        <v>0</v>
      </c>
      <c r="N32" s="141">
        <f>+L32-M32</f>
        <v>0</v>
      </c>
      <c r="R32" s="2"/>
      <c r="S32" s="4"/>
      <c r="U32" s="4"/>
      <c r="V32" s="156"/>
      <c r="W32" s="155"/>
    </row>
    <row r="33" spans="1:28" x14ac:dyDescent="0.2">
      <c r="A33" s="130">
        <v>2</v>
      </c>
      <c r="B33" s="131"/>
      <c r="C33" s="131">
        <v>8</v>
      </c>
      <c r="D33" s="131">
        <v>2023</v>
      </c>
      <c r="E33" s="132" t="s">
        <v>80</v>
      </c>
      <c r="F33" s="133"/>
      <c r="G33" s="137"/>
      <c r="H33" s="138"/>
      <c r="I33" s="138"/>
      <c r="J33" s="139"/>
      <c r="K33" s="132"/>
      <c r="L33" s="140"/>
      <c r="M33" s="141">
        <f>+L33*0.13</f>
        <v>0</v>
      </c>
      <c r="N33" s="141">
        <f t="shared" ref="N33" si="9">+L33-M33</f>
        <v>0</v>
      </c>
      <c r="R33" s="121"/>
      <c r="S33" s="4"/>
      <c r="U33" s="173"/>
      <c r="V33" s="153"/>
      <c r="W33" s="154"/>
    </row>
    <row r="34" spans="1:28" x14ac:dyDescent="0.2">
      <c r="A34" s="134" t="s">
        <v>18</v>
      </c>
      <c r="B34" s="135"/>
      <c r="C34" s="135"/>
      <c r="D34" s="135"/>
      <c r="E34" s="129"/>
      <c r="F34" s="136"/>
      <c r="G34" s="136"/>
      <c r="H34" s="136"/>
      <c r="I34" s="136"/>
      <c r="J34" s="142"/>
      <c r="K34" s="142"/>
      <c r="L34" s="143">
        <f>SUM(L32:L33)</f>
        <v>0</v>
      </c>
      <c r="M34" s="143">
        <f>SUM(M32:M33)</f>
        <v>0</v>
      </c>
      <c r="N34" s="143">
        <f>SUM(N32:N33)</f>
        <v>0</v>
      </c>
      <c r="R34" s="2"/>
      <c r="U34" s="4"/>
      <c r="V34" s="156"/>
      <c r="W34" s="155"/>
    </row>
    <row r="36" spans="1:28" x14ac:dyDescent="0.2">
      <c r="A36" s="193" t="s">
        <v>117</v>
      </c>
      <c r="B36" s="193"/>
      <c r="C36" s="193"/>
      <c r="D36" s="193"/>
      <c r="E36" s="193"/>
      <c r="F36" s="193"/>
      <c r="G36" s="183" t="s">
        <v>55</v>
      </c>
      <c r="H36" s="183"/>
      <c r="I36" s="183"/>
      <c r="J36" s="183"/>
      <c r="K36" s="183"/>
      <c r="L36" s="184" t="s">
        <v>83</v>
      </c>
      <c r="M36" s="184"/>
      <c r="N36" s="184"/>
      <c r="O36" s="184"/>
      <c r="P36" s="184"/>
      <c r="Q36" s="185" t="s">
        <v>75</v>
      </c>
      <c r="R36" s="185"/>
      <c r="S36" s="186" t="s">
        <v>73</v>
      </c>
      <c r="T36" s="186"/>
      <c r="U36" s="186"/>
      <c r="V36" s="187" t="s">
        <v>12</v>
      </c>
      <c r="W36" s="187"/>
      <c r="X36" s="188" t="s">
        <v>69</v>
      </c>
      <c r="Y36" s="188"/>
      <c r="Z36" s="188"/>
      <c r="AA36" s="188"/>
      <c r="AB36" s="188"/>
    </row>
    <row r="37" spans="1:28" x14ac:dyDescent="0.2">
      <c r="A37" s="83" t="s">
        <v>11</v>
      </c>
      <c r="B37" s="84" t="s">
        <v>47</v>
      </c>
      <c r="C37" s="80"/>
      <c r="D37" s="80"/>
      <c r="E37" s="80"/>
      <c r="F37" s="81">
        <f>+L16</f>
        <v>481797</v>
      </c>
      <c r="G37" s="82" t="s">
        <v>53</v>
      </c>
      <c r="H37" s="85" t="s">
        <v>52</v>
      </c>
      <c r="I37" s="85" t="s">
        <v>1</v>
      </c>
      <c r="J37" s="85" t="s">
        <v>2</v>
      </c>
      <c r="K37" s="86"/>
      <c r="L37" s="88" t="s">
        <v>52</v>
      </c>
      <c r="M37" s="89" t="s">
        <v>35</v>
      </c>
      <c r="N37" s="88" t="s">
        <v>1</v>
      </c>
      <c r="O37" s="89" t="s">
        <v>67</v>
      </c>
      <c r="P37" s="89" t="s">
        <v>2</v>
      </c>
      <c r="Q37" s="157" t="s">
        <v>76</v>
      </c>
      <c r="R37" s="157" t="s">
        <v>60</v>
      </c>
      <c r="S37" s="90" t="s">
        <v>9</v>
      </c>
      <c r="T37" s="91" t="s">
        <v>74</v>
      </c>
      <c r="U37" s="92" t="s">
        <v>10</v>
      </c>
      <c r="V37" s="87" t="s">
        <v>56</v>
      </c>
      <c r="W37" s="87" t="s">
        <v>57</v>
      </c>
      <c r="X37" s="122" t="s">
        <v>58</v>
      </c>
      <c r="Y37" s="122" t="s">
        <v>68</v>
      </c>
      <c r="Z37" s="122" t="s">
        <v>62</v>
      </c>
      <c r="AA37" s="122" t="s">
        <v>72</v>
      </c>
      <c r="AB37" s="122" t="s">
        <v>59</v>
      </c>
    </row>
    <row r="38" spans="1:28" x14ac:dyDescent="0.2">
      <c r="A38" s="83" t="s">
        <v>11</v>
      </c>
      <c r="B38" s="84" t="s">
        <v>13</v>
      </c>
      <c r="C38" s="84"/>
      <c r="D38" s="84"/>
      <c r="E38" s="84"/>
      <c r="F38" s="81">
        <f>+M9</f>
        <v>91542</v>
      </c>
      <c r="G38" s="86" t="s">
        <v>22</v>
      </c>
      <c r="H38" s="93">
        <v>362422</v>
      </c>
      <c r="I38" s="93">
        <f t="shared" ref="I38:I49" si="10">ROUND((H38*0.19),0)</f>
        <v>68860</v>
      </c>
      <c r="J38" s="93">
        <f>SUM(H38:I38)</f>
        <v>431282</v>
      </c>
      <c r="K38" s="86"/>
      <c r="L38" s="96">
        <v>206080</v>
      </c>
      <c r="M38" s="96">
        <v>0</v>
      </c>
      <c r="N38" s="96">
        <v>39155</v>
      </c>
      <c r="O38" s="97">
        <v>0</v>
      </c>
      <c r="P38" s="97">
        <f>SUM(L38:O38)</f>
        <v>245235</v>
      </c>
      <c r="Q38" s="158">
        <v>0</v>
      </c>
      <c r="R38" s="158">
        <v>0</v>
      </c>
      <c r="S38" s="98">
        <v>0</v>
      </c>
      <c r="T38" s="98">
        <f>+S38*0.13</f>
        <v>0</v>
      </c>
      <c r="U38" s="98">
        <f t="shared" ref="U38:U49" si="11">+S38-T38</f>
        <v>0</v>
      </c>
      <c r="V38" s="94">
        <v>0.1</v>
      </c>
      <c r="W38" s="95">
        <f t="shared" ref="W38:W49" si="12">ROUND((H38*V38),2)</f>
        <v>36242.199999999997</v>
      </c>
      <c r="X38" s="123">
        <v>0</v>
      </c>
      <c r="Y38" s="123">
        <v>0</v>
      </c>
      <c r="Z38" s="123">
        <v>48000</v>
      </c>
      <c r="AA38" s="123">
        <v>0</v>
      </c>
      <c r="AB38" s="123">
        <v>30084</v>
      </c>
    </row>
    <row r="39" spans="1:28" x14ac:dyDescent="0.2">
      <c r="A39" s="83" t="s">
        <v>11</v>
      </c>
      <c r="B39" s="99" t="s">
        <v>45</v>
      </c>
      <c r="C39" s="84"/>
      <c r="D39" s="84"/>
      <c r="E39" s="84"/>
      <c r="F39" s="100">
        <f>+M12</f>
        <v>0</v>
      </c>
      <c r="G39" s="86" t="s">
        <v>23</v>
      </c>
      <c r="H39" s="93">
        <v>727324</v>
      </c>
      <c r="I39" s="93">
        <v>138191</v>
      </c>
      <c r="J39" s="93">
        <f t="shared" ref="J39:J49" si="13">SUM(H39:I39)</f>
        <v>865515</v>
      </c>
      <c r="K39" s="86"/>
      <c r="L39" s="96">
        <v>24120</v>
      </c>
      <c r="M39" s="96">
        <v>0</v>
      </c>
      <c r="N39" s="96">
        <v>4583</v>
      </c>
      <c r="O39" s="97">
        <v>0</v>
      </c>
      <c r="P39" s="97">
        <f t="shared" ref="P39:P49" si="14">SUM(L39:O39)</f>
        <v>28703</v>
      </c>
      <c r="Q39" s="158">
        <v>0</v>
      </c>
      <c r="R39" s="158">
        <v>0</v>
      </c>
      <c r="S39" s="98">
        <v>0</v>
      </c>
      <c r="T39" s="98">
        <f t="shared" ref="T39:T49" si="15">+S39*0.13</f>
        <v>0</v>
      </c>
      <c r="U39" s="98">
        <f t="shared" si="11"/>
        <v>0</v>
      </c>
      <c r="V39" s="94">
        <v>0.1</v>
      </c>
      <c r="W39" s="95">
        <f t="shared" si="12"/>
        <v>72732.399999999994</v>
      </c>
      <c r="X39" s="123">
        <v>0</v>
      </c>
      <c r="Y39" s="123">
        <v>0</v>
      </c>
      <c r="Z39" s="123">
        <v>48000</v>
      </c>
      <c r="AA39" s="123">
        <v>0</v>
      </c>
      <c r="AB39" s="123">
        <v>0</v>
      </c>
    </row>
    <row r="40" spans="1:28" s="4" customFormat="1" x14ac:dyDescent="0.2">
      <c r="A40" s="83" t="s">
        <v>11</v>
      </c>
      <c r="B40" s="101" t="s">
        <v>64</v>
      </c>
      <c r="C40" s="101"/>
      <c r="D40" s="84"/>
      <c r="E40" s="84"/>
      <c r="F40" s="102">
        <v>0</v>
      </c>
      <c r="G40" s="86" t="s">
        <v>24</v>
      </c>
      <c r="H40" s="93">
        <v>3119121</v>
      </c>
      <c r="I40" s="93">
        <f t="shared" si="10"/>
        <v>592633</v>
      </c>
      <c r="J40" s="93">
        <f t="shared" si="13"/>
        <v>3711754</v>
      </c>
      <c r="K40" s="86"/>
      <c r="L40" s="96">
        <v>25050</v>
      </c>
      <c r="M40" s="96">
        <v>0</v>
      </c>
      <c r="N40" s="96">
        <v>4760</v>
      </c>
      <c r="O40" s="97">
        <v>0</v>
      </c>
      <c r="P40" s="97">
        <f t="shared" si="14"/>
        <v>29810</v>
      </c>
      <c r="Q40" s="158">
        <v>0</v>
      </c>
      <c r="R40" s="158">
        <v>0</v>
      </c>
      <c r="S40" s="98">
        <v>0</v>
      </c>
      <c r="T40" s="98">
        <f t="shared" si="15"/>
        <v>0</v>
      </c>
      <c r="U40" s="98">
        <f t="shared" si="11"/>
        <v>0</v>
      </c>
      <c r="V40" s="94">
        <v>0.1</v>
      </c>
      <c r="W40" s="95">
        <f t="shared" si="12"/>
        <v>311912.09999999998</v>
      </c>
      <c r="X40" s="123">
        <v>0</v>
      </c>
      <c r="Y40" s="123">
        <v>0</v>
      </c>
      <c r="Z40" s="123">
        <v>48000</v>
      </c>
      <c r="AA40" s="123">
        <v>0</v>
      </c>
      <c r="AB40" s="123">
        <v>0</v>
      </c>
    </row>
    <row r="41" spans="1:28" s="4" customFormat="1" x14ac:dyDescent="0.2">
      <c r="A41" s="83" t="s">
        <v>11</v>
      </c>
      <c r="B41" s="84" t="s">
        <v>63</v>
      </c>
      <c r="C41" s="84"/>
      <c r="D41" s="84"/>
      <c r="E41" s="84"/>
      <c r="F41" s="103">
        <f>SUM(F38:F39)</f>
        <v>91542</v>
      </c>
      <c r="G41" s="86" t="s">
        <v>25</v>
      </c>
      <c r="H41" s="93">
        <v>548065</v>
      </c>
      <c r="I41" s="93">
        <f t="shared" si="10"/>
        <v>104132</v>
      </c>
      <c r="J41" s="93">
        <f t="shared" si="13"/>
        <v>652197</v>
      </c>
      <c r="K41" s="93"/>
      <c r="L41" s="96">
        <v>93368</v>
      </c>
      <c r="M41" s="96">
        <v>0</v>
      </c>
      <c r="N41" s="96">
        <v>18310</v>
      </c>
      <c r="O41" s="97">
        <v>0</v>
      </c>
      <c r="P41" s="97">
        <f t="shared" si="14"/>
        <v>111678</v>
      </c>
      <c r="Q41" s="158">
        <v>0</v>
      </c>
      <c r="R41" s="158">
        <v>0</v>
      </c>
      <c r="S41" s="98">
        <v>0</v>
      </c>
      <c r="T41" s="98">
        <f t="shared" si="15"/>
        <v>0</v>
      </c>
      <c r="U41" s="98">
        <f t="shared" si="11"/>
        <v>0</v>
      </c>
      <c r="V41" s="94">
        <v>0.1</v>
      </c>
      <c r="W41" s="95">
        <f t="shared" si="12"/>
        <v>54806.5</v>
      </c>
      <c r="X41" s="123">
        <v>0</v>
      </c>
      <c r="Y41" s="123">
        <v>0</v>
      </c>
      <c r="Z41" s="123">
        <v>48000</v>
      </c>
      <c r="AA41" s="123">
        <v>0</v>
      </c>
      <c r="AB41" s="123">
        <v>0</v>
      </c>
    </row>
    <row r="42" spans="1:28" s="4" customFormat="1" x14ac:dyDescent="0.2">
      <c r="A42" s="83" t="s">
        <v>11</v>
      </c>
      <c r="B42" s="99" t="s">
        <v>14</v>
      </c>
      <c r="C42" s="84"/>
      <c r="D42" s="84"/>
      <c r="E42" s="84"/>
      <c r="F42" s="100">
        <f>-N24</f>
        <v>-52555</v>
      </c>
      <c r="G42" s="86" t="s">
        <v>26</v>
      </c>
      <c r="H42" s="93">
        <v>238087</v>
      </c>
      <c r="I42" s="93">
        <f t="shared" si="10"/>
        <v>45237</v>
      </c>
      <c r="J42" s="93">
        <f t="shared" si="13"/>
        <v>283324</v>
      </c>
      <c r="K42" s="93"/>
      <c r="L42" s="96">
        <v>111383</v>
      </c>
      <c r="M42" s="96">
        <v>0</v>
      </c>
      <c r="N42" s="96">
        <v>21163</v>
      </c>
      <c r="O42" s="97">
        <v>0</v>
      </c>
      <c r="P42" s="97">
        <f t="shared" si="14"/>
        <v>132546</v>
      </c>
      <c r="Q42" s="158">
        <v>0</v>
      </c>
      <c r="R42" s="158">
        <v>0</v>
      </c>
      <c r="S42" s="98">
        <v>0</v>
      </c>
      <c r="T42" s="98">
        <f t="shared" si="15"/>
        <v>0</v>
      </c>
      <c r="U42" s="98">
        <f t="shared" si="11"/>
        <v>0</v>
      </c>
      <c r="V42" s="94">
        <v>0.1</v>
      </c>
      <c r="W42" s="95">
        <f t="shared" si="12"/>
        <v>23808.7</v>
      </c>
      <c r="X42" s="123">
        <v>0</v>
      </c>
      <c r="Y42" s="123">
        <v>0</v>
      </c>
      <c r="Z42" s="123">
        <v>48000</v>
      </c>
      <c r="AA42" s="123">
        <v>0</v>
      </c>
      <c r="AB42" s="123">
        <v>0</v>
      </c>
    </row>
    <row r="43" spans="1:28" s="4" customFormat="1" x14ac:dyDescent="0.2">
      <c r="A43" s="83" t="s">
        <v>11</v>
      </c>
      <c r="B43" s="84" t="s">
        <v>46</v>
      </c>
      <c r="C43" s="84"/>
      <c r="D43" s="84"/>
      <c r="E43" s="84"/>
      <c r="F43" s="81">
        <f>-N27</f>
        <v>0</v>
      </c>
      <c r="G43" s="86" t="s">
        <v>27</v>
      </c>
      <c r="H43" s="93">
        <v>338803</v>
      </c>
      <c r="I43" s="93">
        <f t="shared" si="10"/>
        <v>64373</v>
      </c>
      <c r="J43" s="93">
        <f t="shared" si="13"/>
        <v>403176</v>
      </c>
      <c r="K43" s="93"/>
      <c r="L43" s="96">
        <v>111033</v>
      </c>
      <c r="M43" s="96">
        <v>0</v>
      </c>
      <c r="N43" s="96">
        <v>21095</v>
      </c>
      <c r="O43" s="97">
        <v>0</v>
      </c>
      <c r="P43" s="97">
        <f t="shared" si="14"/>
        <v>132128</v>
      </c>
      <c r="Q43" s="158">
        <v>0</v>
      </c>
      <c r="R43" s="158">
        <v>0</v>
      </c>
      <c r="S43" s="98">
        <v>0</v>
      </c>
      <c r="T43" s="98">
        <f t="shared" si="15"/>
        <v>0</v>
      </c>
      <c r="U43" s="98">
        <f t="shared" si="11"/>
        <v>0</v>
      </c>
      <c r="V43" s="94">
        <v>0.15</v>
      </c>
      <c r="W43" s="95">
        <f t="shared" si="12"/>
        <v>50820.45</v>
      </c>
      <c r="X43" s="123">
        <v>0</v>
      </c>
      <c r="Y43" s="123">
        <v>0</v>
      </c>
      <c r="Z43" s="123">
        <v>48000</v>
      </c>
      <c r="AA43" s="123">
        <v>0</v>
      </c>
      <c r="AB43" s="123">
        <v>0</v>
      </c>
    </row>
    <row r="44" spans="1:28" s="4" customFormat="1" x14ac:dyDescent="0.2">
      <c r="A44" s="83" t="s">
        <v>11</v>
      </c>
      <c r="B44" s="84" t="s">
        <v>15</v>
      </c>
      <c r="C44" s="84"/>
      <c r="D44" s="84"/>
      <c r="E44" s="84"/>
      <c r="F44" s="81">
        <f>SUM(F41:F43)</f>
        <v>38987</v>
      </c>
      <c r="G44" s="86" t="s">
        <v>28</v>
      </c>
      <c r="H44" s="93">
        <v>3555847</v>
      </c>
      <c r="I44" s="93">
        <f t="shared" si="10"/>
        <v>675611</v>
      </c>
      <c r="J44" s="93">
        <f t="shared" si="13"/>
        <v>4231458</v>
      </c>
      <c r="K44" s="93"/>
      <c r="L44" s="96">
        <v>1032354</v>
      </c>
      <c r="M44" s="96">
        <v>0</v>
      </c>
      <c r="N44" s="96">
        <v>196148</v>
      </c>
      <c r="O44" s="97">
        <v>0</v>
      </c>
      <c r="P44" s="97">
        <f t="shared" si="14"/>
        <v>1228502</v>
      </c>
      <c r="Q44" s="158">
        <v>0</v>
      </c>
      <c r="R44" s="158">
        <v>0</v>
      </c>
      <c r="S44" s="98">
        <v>0</v>
      </c>
      <c r="T44" s="98">
        <f t="shared" si="15"/>
        <v>0</v>
      </c>
      <c r="U44" s="98">
        <f t="shared" si="11"/>
        <v>0</v>
      </c>
      <c r="V44" s="94">
        <v>5.0000000000000001E-3</v>
      </c>
      <c r="W44" s="95">
        <f t="shared" si="12"/>
        <v>17779.240000000002</v>
      </c>
      <c r="X44" s="123">
        <v>0</v>
      </c>
      <c r="Y44" s="123">
        <v>0</v>
      </c>
      <c r="Z44" s="123">
        <v>48000</v>
      </c>
      <c r="AA44" s="123">
        <v>0</v>
      </c>
      <c r="AB44" s="123">
        <v>31537</v>
      </c>
    </row>
    <row r="45" spans="1:28" s="4" customFormat="1" x14ac:dyDescent="0.2">
      <c r="A45" s="83" t="s">
        <v>11</v>
      </c>
      <c r="B45" s="84" t="s">
        <v>34</v>
      </c>
      <c r="C45" s="84"/>
      <c r="D45" s="84"/>
      <c r="E45" s="84"/>
      <c r="F45" s="81">
        <f>+M34</f>
        <v>0</v>
      </c>
      <c r="G45" s="86" t="s">
        <v>29</v>
      </c>
      <c r="H45" s="93">
        <v>481797</v>
      </c>
      <c r="I45" s="93">
        <v>91542</v>
      </c>
      <c r="J45" s="93">
        <f t="shared" si="13"/>
        <v>573339</v>
      </c>
      <c r="K45" s="93"/>
      <c r="L45" s="96">
        <v>276608</v>
      </c>
      <c r="M45" s="96">
        <v>0</v>
      </c>
      <c r="N45" s="96">
        <v>52555</v>
      </c>
      <c r="O45" s="97">
        <v>0</v>
      </c>
      <c r="P45" s="97">
        <f t="shared" si="14"/>
        <v>329163</v>
      </c>
      <c r="Q45" s="158">
        <v>0</v>
      </c>
      <c r="R45" s="158">
        <v>0</v>
      </c>
      <c r="S45" s="98">
        <v>0</v>
      </c>
      <c r="T45" s="98">
        <f t="shared" si="15"/>
        <v>0</v>
      </c>
      <c r="U45" s="98">
        <f t="shared" si="11"/>
        <v>0</v>
      </c>
      <c r="V45" s="94">
        <v>0.1</v>
      </c>
      <c r="W45" s="95">
        <f t="shared" si="12"/>
        <v>48179.7</v>
      </c>
      <c r="X45" s="123">
        <v>0</v>
      </c>
      <c r="Y45" s="123">
        <v>0</v>
      </c>
      <c r="Z45" s="123">
        <v>48000</v>
      </c>
      <c r="AA45" s="123">
        <v>0</v>
      </c>
      <c r="AB45" s="123">
        <v>0</v>
      </c>
    </row>
    <row r="46" spans="1:28" s="4" customFormat="1" x14ac:dyDescent="0.2">
      <c r="A46" s="83" t="s">
        <v>11</v>
      </c>
      <c r="B46" s="84" t="s">
        <v>12</v>
      </c>
      <c r="C46" s="84"/>
      <c r="D46" s="104">
        <v>0.1</v>
      </c>
      <c r="E46" s="84"/>
      <c r="F46" s="81">
        <f>ROUND((L16*D46),0)</f>
        <v>48180</v>
      </c>
      <c r="G46" s="86" t="s">
        <v>30</v>
      </c>
      <c r="H46" s="93">
        <v>0</v>
      </c>
      <c r="I46" s="93">
        <f t="shared" si="10"/>
        <v>0</v>
      </c>
      <c r="J46" s="93">
        <f t="shared" si="13"/>
        <v>0</v>
      </c>
      <c r="K46" s="93"/>
      <c r="L46" s="96">
        <v>0</v>
      </c>
      <c r="M46" s="96">
        <v>0</v>
      </c>
      <c r="N46" s="96">
        <v>0</v>
      </c>
      <c r="O46" s="97">
        <v>0</v>
      </c>
      <c r="P46" s="97">
        <f t="shared" si="14"/>
        <v>0</v>
      </c>
      <c r="Q46" s="158">
        <v>0</v>
      </c>
      <c r="R46" s="158">
        <v>0</v>
      </c>
      <c r="S46" s="98">
        <v>0</v>
      </c>
      <c r="T46" s="98">
        <f t="shared" si="15"/>
        <v>0</v>
      </c>
      <c r="U46" s="98">
        <f t="shared" si="11"/>
        <v>0</v>
      </c>
      <c r="V46" s="94"/>
      <c r="W46" s="95">
        <f t="shared" si="12"/>
        <v>0</v>
      </c>
      <c r="X46" s="123">
        <v>0</v>
      </c>
      <c r="Y46" s="123">
        <v>0</v>
      </c>
      <c r="Z46" s="123">
        <v>0</v>
      </c>
      <c r="AA46" s="123">
        <v>0</v>
      </c>
      <c r="AB46" s="123">
        <v>0</v>
      </c>
    </row>
    <row r="47" spans="1:28" s="4" customFormat="1" x14ac:dyDescent="0.2">
      <c r="A47" s="83" t="s">
        <v>11</v>
      </c>
      <c r="B47" s="105" t="s">
        <v>66</v>
      </c>
      <c r="C47" s="106"/>
      <c r="D47" s="106"/>
      <c r="E47" s="84"/>
      <c r="F47" s="107">
        <v>0</v>
      </c>
      <c r="G47" s="86" t="s">
        <v>31</v>
      </c>
      <c r="H47" s="93">
        <v>0</v>
      </c>
      <c r="I47" s="93">
        <f t="shared" si="10"/>
        <v>0</v>
      </c>
      <c r="J47" s="93">
        <f t="shared" si="13"/>
        <v>0</v>
      </c>
      <c r="K47" s="93"/>
      <c r="L47" s="96">
        <v>0</v>
      </c>
      <c r="M47" s="96">
        <v>0</v>
      </c>
      <c r="N47" s="96">
        <v>0</v>
      </c>
      <c r="O47" s="97">
        <v>0</v>
      </c>
      <c r="P47" s="97">
        <f t="shared" si="14"/>
        <v>0</v>
      </c>
      <c r="Q47" s="158">
        <v>0</v>
      </c>
      <c r="R47" s="158">
        <v>0</v>
      </c>
      <c r="S47" s="98">
        <v>0</v>
      </c>
      <c r="T47" s="98">
        <f t="shared" si="15"/>
        <v>0</v>
      </c>
      <c r="U47" s="98">
        <f t="shared" si="11"/>
        <v>0</v>
      </c>
      <c r="V47" s="94"/>
      <c r="W47" s="95">
        <f t="shared" si="12"/>
        <v>0</v>
      </c>
      <c r="X47" s="123">
        <v>0</v>
      </c>
      <c r="Y47" s="123">
        <v>0</v>
      </c>
      <c r="Z47" s="123">
        <v>0</v>
      </c>
      <c r="AA47" s="123">
        <v>0</v>
      </c>
      <c r="AB47" s="123">
        <v>0</v>
      </c>
    </row>
    <row r="48" spans="1:28" s="4" customFormat="1" x14ac:dyDescent="0.2">
      <c r="A48" s="83" t="s">
        <v>11</v>
      </c>
      <c r="B48" s="106" t="s">
        <v>19</v>
      </c>
      <c r="C48" s="106"/>
      <c r="D48" s="106"/>
      <c r="E48" s="84"/>
      <c r="F48" s="108">
        <f>SUM(F44:F46)</f>
        <v>87167</v>
      </c>
      <c r="G48" s="86" t="s">
        <v>32</v>
      </c>
      <c r="H48" s="93">
        <v>0</v>
      </c>
      <c r="I48" s="93">
        <f t="shared" si="10"/>
        <v>0</v>
      </c>
      <c r="J48" s="93">
        <f t="shared" si="13"/>
        <v>0</v>
      </c>
      <c r="K48" s="93"/>
      <c r="L48" s="96">
        <v>0</v>
      </c>
      <c r="M48" s="96">
        <v>0</v>
      </c>
      <c r="N48" s="96">
        <v>0</v>
      </c>
      <c r="O48" s="97">
        <v>0</v>
      </c>
      <c r="P48" s="97">
        <f t="shared" si="14"/>
        <v>0</v>
      </c>
      <c r="Q48" s="158">
        <v>0</v>
      </c>
      <c r="R48" s="158">
        <v>0</v>
      </c>
      <c r="S48" s="98">
        <v>0</v>
      </c>
      <c r="T48" s="98">
        <f t="shared" si="15"/>
        <v>0</v>
      </c>
      <c r="U48" s="98">
        <f t="shared" si="11"/>
        <v>0</v>
      </c>
      <c r="V48" s="94"/>
      <c r="W48" s="95">
        <f t="shared" si="12"/>
        <v>0</v>
      </c>
      <c r="X48" s="123">
        <v>0</v>
      </c>
      <c r="Y48" s="123">
        <v>0</v>
      </c>
      <c r="Z48" s="123">
        <v>0</v>
      </c>
      <c r="AA48" s="123">
        <v>0</v>
      </c>
      <c r="AB48" s="123">
        <v>0</v>
      </c>
    </row>
    <row r="49" spans="1:35" s="4" customFormat="1" x14ac:dyDescent="0.2">
      <c r="A49" s="109" t="s">
        <v>20</v>
      </c>
      <c r="B49" s="110"/>
      <c r="C49" s="110"/>
      <c r="D49" s="110"/>
      <c r="E49" s="110"/>
      <c r="F49" s="111">
        <f>+F44+F46</f>
        <v>87167</v>
      </c>
      <c r="G49" s="86" t="s">
        <v>33</v>
      </c>
      <c r="H49" s="93">
        <v>0</v>
      </c>
      <c r="I49" s="93">
        <f t="shared" si="10"/>
        <v>0</v>
      </c>
      <c r="J49" s="93">
        <f t="shared" si="13"/>
        <v>0</v>
      </c>
      <c r="K49" s="93"/>
      <c r="L49" s="96">
        <v>0</v>
      </c>
      <c r="M49" s="96">
        <v>0</v>
      </c>
      <c r="N49" s="96">
        <v>0</v>
      </c>
      <c r="O49" s="97">
        <v>0</v>
      </c>
      <c r="P49" s="97">
        <f t="shared" si="14"/>
        <v>0</v>
      </c>
      <c r="Q49" s="158">
        <v>0</v>
      </c>
      <c r="R49" s="158">
        <v>0</v>
      </c>
      <c r="S49" s="98">
        <v>0</v>
      </c>
      <c r="T49" s="98">
        <f t="shared" si="15"/>
        <v>0</v>
      </c>
      <c r="U49" s="98">
        <f t="shared" si="11"/>
        <v>0</v>
      </c>
      <c r="V49" s="94"/>
      <c r="W49" s="95">
        <f t="shared" si="12"/>
        <v>0</v>
      </c>
      <c r="X49" s="123">
        <v>0</v>
      </c>
      <c r="Y49" s="123">
        <v>0</v>
      </c>
      <c r="Z49" s="123">
        <v>0</v>
      </c>
      <c r="AA49" s="123">
        <v>0</v>
      </c>
      <c r="AB49" s="123">
        <v>0</v>
      </c>
    </row>
    <row r="50" spans="1:35" s="4" customFormat="1" x14ac:dyDescent="0.2">
      <c r="A50" s="109" t="s">
        <v>21</v>
      </c>
      <c r="B50" s="110"/>
      <c r="C50" s="110"/>
      <c r="D50" s="110"/>
      <c r="E50" s="110"/>
      <c r="F50" s="112">
        <f>+F49/L16</f>
        <v>0.18092059518842998</v>
      </c>
      <c r="G50" s="113" t="s">
        <v>36</v>
      </c>
      <c r="H50" s="114">
        <f>SUM(H38:H49)</f>
        <v>9371466</v>
      </c>
      <c r="I50" s="114">
        <f>SUM(I38:I49)</f>
        <v>1780579</v>
      </c>
      <c r="J50" s="114">
        <f>SUM(J38:J49)</f>
        <v>11152045</v>
      </c>
      <c r="K50" s="93"/>
      <c r="L50" s="116">
        <f>SUM(L38:L49)</f>
        <v>1879996</v>
      </c>
      <c r="M50" s="116">
        <f t="shared" ref="M50:P50" si="16">SUM(M38:M49)</f>
        <v>0</v>
      </c>
      <c r="N50" s="116">
        <f t="shared" si="16"/>
        <v>357769</v>
      </c>
      <c r="O50" s="116">
        <f t="shared" si="16"/>
        <v>0</v>
      </c>
      <c r="P50" s="116">
        <f t="shared" si="16"/>
        <v>2237765</v>
      </c>
      <c r="Q50" s="159">
        <f>SUM(Q38:Q49)</f>
        <v>0</v>
      </c>
      <c r="R50" s="159">
        <f>SUM(R38:R49)</f>
        <v>0</v>
      </c>
      <c r="S50" s="117">
        <f>SUM(S38:S49)</f>
        <v>0</v>
      </c>
      <c r="T50" s="117">
        <f t="shared" ref="T50:U50" si="17">SUM(T38:T49)</f>
        <v>0</v>
      </c>
      <c r="U50" s="117">
        <f t="shared" si="17"/>
        <v>0</v>
      </c>
      <c r="V50" s="144">
        <f>SUM(V38:V49)</f>
        <v>0.755</v>
      </c>
      <c r="W50" s="115">
        <f>SUM(W38:W49)</f>
        <v>616281.28999999992</v>
      </c>
      <c r="X50" s="124">
        <f>SUM(X38:X49)</f>
        <v>0</v>
      </c>
      <c r="Y50" s="124">
        <f t="shared" ref="Y50:AB50" si="18">SUM(Y38:Y49)</f>
        <v>0</v>
      </c>
      <c r="Z50" s="124">
        <f t="shared" si="18"/>
        <v>384000</v>
      </c>
      <c r="AA50" s="124">
        <f>SUM(AA38:AA49)</f>
        <v>0</v>
      </c>
      <c r="AB50" s="124">
        <f t="shared" si="18"/>
        <v>61621</v>
      </c>
    </row>
    <row r="51" spans="1:35" s="4" customFormat="1" x14ac:dyDescent="0.2">
      <c r="A51" s="118" t="s">
        <v>125</v>
      </c>
      <c r="B51" s="119"/>
      <c r="C51" s="119"/>
      <c r="D51" s="119"/>
      <c r="E51" s="119"/>
      <c r="F51" s="120">
        <f>+F44/L16</f>
        <v>8.0919972519546621E-2</v>
      </c>
      <c r="G51" s="145" t="s">
        <v>54</v>
      </c>
      <c r="H51" s="146">
        <f>+H50/8</f>
        <v>1171433.25</v>
      </c>
      <c r="I51" s="146">
        <f>+I50/8</f>
        <v>222572.375</v>
      </c>
      <c r="J51" s="146">
        <f>+J50/8</f>
        <v>1394005.625</v>
      </c>
      <c r="K51" s="145"/>
      <c r="L51" s="149">
        <f t="shared" ref="L51:AB51" si="19">+L50/8</f>
        <v>234999.5</v>
      </c>
      <c r="M51" s="149">
        <f t="shared" si="19"/>
        <v>0</v>
      </c>
      <c r="N51" s="149">
        <f t="shared" si="19"/>
        <v>44721.125</v>
      </c>
      <c r="O51" s="149">
        <f t="shared" si="19"/>
        <v>0</v>
      </c>
      <c r="P51" s="149">
        <f t="shared" si="19"/>
        <v>279720.625</v>
      </c>
      <c r="Q51" s="160">
        <f t="shared" si="19"/>
        <v>0</v>
      </c>
      <c r="R51" s="160">
        <f t="shared" si="19"/>
        <v>0</v>
      </c>
      <c r="S51" s="150">
        <f t="shared" si="19"/>
        <v>0</v>
      </c>
      <c r="T51" s="150">
        <f t="shared" si="19"/>
        <v>0</v>
      </c>
      <c r="U51" s="150">
        <f t="shared" si="19"/>
        <v>0</v>
      </c>
      <c r="V51" s="147">
        <f t="shared" si="19"/>
        <v>9.4375000000000001E-2</v>
      </c>
      <c r="W51" s="148">
        <f t="shared" si="19"/>
        <v>77035.16124999999</v>
      </c>
      <c r="X51" s="151">
        <f t="shared" si="19"/>
        <v>0</v>
      </c>
      <c r="Y51" s="151">
        <f t="shared" si="19"/>
        <v>0</v>
      </c>
      <c r="Z51" s="151">
        <f t="shared" si="19"/>
        <v>48000</v>
      </c>
      <c r="AA51" s="151">
        <f t="shared" si="19"/>
        <v>0</v>
      </c>
      <c r="AB51" s="151">
        <f t="shared" si="19"/>
        <v>7702.625</v>
      </c>
    </row>
    <row r="52" spans="1:35" s="4" customFormat="1" x14ac:dyDescent="0.2">
      <c r="A52" s="2"/>
      <c r="B52" s="2"/>
      <c r="C52" s="2"/>
      <c r="D52" s="2"/>
      <c r="E52" s="2"/>
      <c r="F52" s="2"/>
      <c r="G52" s="2"/>
      <c r="Q52" s="2"/>
      <c r="R52" s="2"/>
      <c r="T52" s="2"/>
      <c r="U52" s="2"/>
    </row>
    <row r="53" spans="1:35" x14ac:dyDescent="0.2">
      <c r="X53" s="121"/>
      <c r="AB53" s="121"/>
      <c r="AD53" s="4"/>
      <c r="AF53" s="121"/>
      <c r="AI53" s="121">
        <v>-4.5</v>
      </c>
    </row>
    <row r="54" spans="1:35" x14ac:dyDescent="0.2">
      <c r="AD54" s="4"/>
    </row>
  </sheetData>
  <mergeCells count="12">
    <mergeCell ref="X36:AB36"/>
    <mergeCell ref="B3:D3"/>
    <mergeCell ref="E3:F3"/>
    <mergeCell ref="E4:F4"/>
    <mergeCell ref="E19:F19"/>
    <mergeCell ref="E31:F31"/>
    <mergeCell ref="A36:F36"/>
    <mergeCell ref="G36:K36"/>
    <mergeCell ref="L36:P36"/>
    <mergeCell ref="Q36:R36"/>
    <mergeCell ref="S36:U36"/>
    <mergeCell ref="V36:W36"/>
  </mergeCells>
  <pageMargins left="0.7" right="0.7" top="0.75" bottom="0.75" header="0.3" footer="0.3"/>
  <pageSetup orientation="portrait" horizontalDpi="200" verticalDpi="200" r:id="rId1"/>
  <ignoredErrors>
    <ignoredError sqref="M9:O14 P24 N28" formula="1"/>
    <ignoredError sqref="P20 P21:P23" formulaRange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13AC6-C4B9-4C63-B2B7-B96EA0797D26}">
  <dimension ref="A1:AK57"/>
  <sheetViews>
    <sheetView zoomScale="117" zoomScaleNormal="117" workbookViewId="0">
      <pane ySplit="4" topLeftCell="A17" activePane="bottomLeft" state="frozen"/>
      <selection pane="bottomLeft" activeCell="V31" sqref="V31"/>
    </sheetView>
  </sheetViews>
  <sheetFormatPr baseColWidth="10" defaultColWidth="11.42578125" defaultRowHeight="11.25" x14ac:dyDescent="0.2"/>
  <cols>
    <col min="1" max="3" width="3.7109375" style="2" customWidth="1"/>
    <col min="4" max="4" width="5.7109375" style="2" customWidth="1"/>
    <col min="5" max="5" width="3.7109375" style="2" customWidth="1"/>
    <col min="6" max="10" width="9.28515625" style="2" customWidth="1"/>
    <col min="11" max="11" width="1.7109375" style="2" customWidth="1"/>
    <col min="12" max="17" width="9.28515625" style="2" customWidth="1"/>
    <col min="18" max="18" width="9.28515625" style="4" customWidth="1"/>
    <col min="19" max="28" width="9.28515625" style="2" customWidth="1"/>
    <col min="29" max="16384" width="11.42578125" style="2"/>
  </cols>
  <sheetData>
    <row r="1" spans="1:22" s="4" customFormat="1" x14ac:dyDescent="0.2">
      <c r="A1" s="174" t="s">
        <v>105</v>
      </c>
      <c r="B1" s="175"/>
      <c r="C1" s="175"/>
      <c r="D1" s="175"/>
      <c r="E1" s="176"/>
      <c r="F1" s="176"/>
      <c r="G1" s="37" t="s">
        <v>44</v>
      </c>
      <c r="H1" s="50"/>
      <c r="I1" s="176"/>
      <c r="J1" s="176"/>
      <c r="K1" s="177"/>
      <c r="L1" s="176"/>
      <c r="M1" s="178" t="s">
        <v>112</v>
      </c>
      <c r="N1" s="177">
        <v>2023</v>
      </c>
      <c r="O1" s="3"/>
      <c r="P1" s="3"/>
      <c r="Q1" s="3"/>
    </row>
    <row r="2" spans="1:22" s="4" customFormat="1" x14ac:dyDescent="0.2">
      <c r="A2" s="5" t="s">
        <v>3</v>
      </c>
      <c r="B2" s="6"/>
      <c r="C2" s="6"/>
      <c r="D2" s="6"/>
      <c r="E2" s="6"/>
      <c r="F2" s="7"/>
      <c r="G2" s="2"/>
      <c r="H2" s="2"/>
      <c r="I2" s="2"/>
      <c r="J2" s="8"/>
      <c r="K2" s="8"/>
      <c r="L2" s="3"/>
      <c r="M2" s="3"/>
      <c r="N2" s="3"/>
      <c r="O2" s="3"/>
      <c r="P2" s="3"/>
      <c r="Q2" s="3"/>
    </row>
    <row r="3" spans="1:22" s="4" customFormat="1" x14ac:dyDescent="0.2">
      <c r="A3" s="9" t="s">
        <v>41</v>
      </c>
      <c r="B3" s="189" t="s">
        <v>40</v>
      </c>
      <c r="C3" s="189"/>
      <c r="D3" s="189"/>
      <c r="E3" s="190" t="s">
        <v>82</v>
      </c>
      <c r="F3" s="190"/>
      <c r="G3" s="10"/>
      <c r="H3" s="10"/>
      <c r="I3" s="10"/>
      <c r="J3" s="10"/>
      <c r="K3" s="10"/>
      <c r="L3" s="11"/>
      <c r="M3" s="11"/>
      <c r="N3" s="11"/>
      <c r="O3" s="11"/>
      <c r="P3" s="11"/>
      <c r="Q3" s="11"/>
    </row>
    <row r="4" spans="1:22" s="4" customFormat="1" x14ac:dyDescent="0.2">
      <c r="A4" s="9" t="s">
        <v>42</v>
      </c>
      <c r="B4" s="12" t="s">
        <v>37</v>
      </c>
      <c r="C4" s="12" t="s">
        <v>38</v>
      </c>
      <c r="D4" s="12" t="s">
        <v>39</v>
      </c>
      <c r="E4" s="190" t="s">
        <v>81</v>
      </c>
      <c r="F4" s="190"/>
      <c r="G4" s="9"/>
      <c r="H4" s="9" t="s">
        <v>0</v>
      </c>
      <c r="I4" s="9"/>
      <c r="J4" s="9" t="s">
        <v>5</v>
      </c>
      <c r="K4" s="9"/>
      <c r="L4" s="9" t="s">
        <v>52</v>
      </c>
      <c r="M4" s="9" t="s">
        <v>1</v>
      </c>
      <c r="N4" s="9" t="s">
        <v>2</v>
      </c>
      <c r="O4" s="2"/>
      <c r="P4" s="2"/>
      <c r="Q4" s="2"/>
    </row>
    <row r="5" spans="1:22" s="4" customFormat="1" x14ac:dyDescent="0.2">
      <c r="A5" s="13">
        <v>1</v>
      </c>
      <c r="B5" s="13">
        <v>5</v>
      </c>
      <c r="C5" s="13">
        <v>7</v>
      </c>
      <c r="D5" s="14">
        <v>2023</v>
      </c>
      <c r="E5" s="14" t="s">
        <v>77</v>
      </c>
      <c r="F5" s="167">
        <v>36</v>
      </c>
      <c r="G5" s="15" t="s">
        <v>114</v>
      </c>
      <c r="H5" s="15"/>
      <c r="I5" s="15"/>
      <c r="J5" s="168">
        <v>99231000</v>
      </c>
      <c r="K5" s="14">
        <v>6</v>
      </c>
      <c r="L5" s="16">
        <v>122396</v>
      </c>
      <c r="M5" s="16">
        <f t="shared" ref="M5:M12" si="0">ROUND((L5*19%),0)</f>
        <v>23255</v>
      </c>
      <c r="N5" s="16">
        <f>ROUND((L5+M5),0)</f>
        <v>145651</v>
      </c>
      <c r="O5" s="2"/>
      <c r="P5" s="2"/>
      <c r="Q5" s="2"/>
    </row>
    <row r="6" spans="1:22" s="4" customFormat="1" x14ac:dyDescent="0.2">
      <c r="A6" s="13">
        <v>2</v>
      </c>
      <c r="B6" s="13">
        <v>5</v>
      </c>
      <c r="C6" s="13">
        <v>7</v>
      </c>
      <c r="D6" s="14">
        <v>2023</v>
      </c>
      <c r="E6" s="14" t="s">
        <v>77</v>
      </c>
      <c r="F6" s="167">
        <v>37</v>
      </c>
      <c r="G6" s="15" t="s">
        <v>95</v>
      </c>
      <c r="H6" s="15"/>
      <c r="I6" s="15"/>
      <c r="J6" s="168">
        <v>99061000</v>
      </c>
      <c r="K6" s="14">
        <v>2</v>
      </c>
      <c r="L6" s="16">
        <v>214797</v>
      </c>
      <c r="M6" s="16">
        <f t="shared" si="0"/>
        <v>40811</v>
      </c>
      <c r="N6" s="16">
        <f t="shared" ref="N6:N12" si="1">ROUND((L6+M6),0)</f>
        <v>255608</v>
      </c>
      <c r="O6" s="2"/>
      <c r="P6" s="2"/>
      <c r="Q6" s="2"/>
    </row>
    <row r="7" spans="1:22" s="4" customFormat="1" x14ac:dyDescent="0.2">
      <c r="A7" s="13">
        <v>3</v>
      </c>
      <c r="B7" s="13">
        <v>6</v>
      </c>
      <c r="C7" s="13">
        <v>7</v>
      </c>
      <c r="D7" s="14">
        <v>2023</v>
      </c>
      <c r="E7" s="14" t="s">
        <v>77</v>
      </c>
      <c r="F7" s="167">
        <v>38</v>
      </c>
      <c r="G7" s="15" t="s">
        <v>115</v>
      </c>
      <c r="H7" s="15"/>
      <c r="I7" s="15"/>
      <c r="J7" s="168">
        <v>77096952</v>
      </c>
      <c r="K7" s="14">
        <v>2</v>
      </c>
      <c r="L7" s="16">
        <v>119240</v>
      </c>
      <c r="M7" s="16">
        <f t="shared" si="0"/>
        <v>22656</v>
      </c>
      <c r="N7" s="16">
        <f t="shared" si="1"/>
        <v>141896</v>
      </c>
      <c r="O7" s="2"/>
      <c r="P7" s="2"/>
      <c r="Q7" s="2"/>
      <c r="R7" s="161"/>
      <c r="S7" s="162"/>
      <c r="T7" s="162"/>
      <c r="U7" s="162"/>
      <c r="V7" s="8"/>
    </row>
    <row r="8" spans="1:22" s="4" customFormat="1" x14ac:dyDescent="0.2">
      <c r="A8" s="13">
        <v>4</v>
      </c>
      <c r="B8" s="13">
        <v>6</v>
      </c>
      <c r="C8" s="13">
        <v>7</v>
      </c>
      <c r="D8" s="14">
        <v>2023</v>
      </c>
      <c r="E8" s="14" t="s">
        <v>77</v>
      </c>
      <c r="F8" s="167">
        <v>39</v>
      </c>
      <c r="G8" s="15" t="s">
        <v>115</v>
      </c>
      <c r="H8" s="15"/>
      <c r="I8" s="15"/>
      <c r="J8" s="168">
        <v>77096952</v>
      </c>
      <c r="K8" s="14">
        <v>2</v>
      </c>
      <c r="L8" s="16">
        <v>13254</v>
      </c>
      <c r="M8" s="16">
        <f t="shared" si="0"/>
        <v>2518</v>
      </c>
      <c r="N8" s="16">
        <f t="shared" si="1"/>
        <v>15772</v>
      </c>
      <c r="O8" s="2"/>
      <c r="P8" s="2"/>
      <c r="Q8" s="2"/>
      <c r="R8" s="161"/>
      <c r="S8" s="162"/>
      <c r="T8" s="162"/>
      <c r="U8" s="162"/>
      <c r="V8" s="8"/>
    </row>
    <row r="9" spans="1:22" s="4" customFormat="1" x14ac:dyDescent="0.2">
      <c r="A9" s="13">
        <v>5</v>
      </c>
      <c r="B9" s="13">
        <v>17</v>
      </c>
      <c r="C9" s="13">
        <v>7</v>
      </c>
      <c r="D9" s="14">
        <v>2023</v>
      </c>
      <c r="E9" s="14" t="s">
        <v>77</v>
      </c>
      <c r="F9" s="167">
        <v>40</v>
      </c>
      <c r="G9" s="15" t="s">
        <v>93</v>
      </c>
      <c r="H9" s="15"/>
      <c r="I9" s="15"/>
      <c r="J9" s="168">
        <v>99147000</v>
      </c>
      <c r="K9" s="14" t="s">
        <v>94</v>
      </c>
      <c r="L9" s="16">
        <v>100640</v>
      </c>
      <c r="M9" s="16">
        <f t="shared" si="0"/>
        <v>19122</v>
      </c>
      <c r="N9" s="16">
        <f t="shared" si="1"/>
        <v>119762</v>
      </c>
      <c r="O9" s="2"/>
      <c r="P9" s="2"/>
      <c r="Q9" s="2"/>
      <c r="R9" s="161"/>
      <c r="S9" s="162"/>
      <c r="T9" s="162"/>
      <c r="U9" s="162"/>
      <c r="V9" s="8"/>
    </row>
    <row r="10" spans="1:22" s="4" customFormat="1" x14ac:dyDescent="0.2">
      <c r="A10" s="13">
        <v>6</v>
      </c>
      <c r="B10" s="13">
        <v>20</v>
      </c>
      <c r="C10" s="13">
        <v>7</v>
      </c>
      <c r="D10" s="14">
        <v>2023</v>
      </c>
      <c r="E10" s="14" t="s">
        <v>77</v>
      </c>
      <c r="F10" s="167">
        <v>41</v>
      </c>
      <c r="G10" s="15" t="s">
        <v>95</v>
      </c>
      <c r="H10" s="15"/>
      <c r="I10" s="15"/>
      <c r="J10" s="168">
        <v>99061000</v>
      </c>
      <c r="K10" s="14">
        <v>2</v>
      </c>
      <c r="L10" s="16">
        <v>1717098</v>
      </c>
      <c r="M10" s="16">
        <f t="shared" si="0"/>
        <v>326249</v>
      </c>
      <c r="N10" s="16">
        <f t="shared" si="1"/>
        <v>2043347</v>
      </c>
      <c r="O10" s="2"/>
      <c r="P10" s="2"/>
      <c r="Q10" s="2"/>
      <c r="R10" s="161"/>
      <c r="S10" s="162"/>
      <c r="T10" s="162"/>
      <c r="U10" s="162"/>
      <c r="V10" s="8"/>
    </row>
    <row r="11" spans="1:22" s="4" customFormat="1" x14ac:dyDescent="0.2">
      <c r="A11" s="13">
        <v>7</v>
      </c>
      <c r="B11" s="13">
        <v>21</v>
      </c>
      <c r="C11" s="13">
        <v>7</v>
      </c>
      <c r="D11" s="14">
        <v>2023</v>
      </c>
      <c r="E11" s="14" t="s">
        <v>77</v>
      </c>
      <c r="F11" s="167">
        <v>42</v>
      </c>
      <c r="G11" s="15" t="s">
        <v>95</v>
      </c>
      <c r="H11" s="15"/>
      <c r="I11" s="15"/>
      <c r="J11" s="168">
        <v>99061000</v>
      </c>
      <c r="K11" s="14">
        <v>2</v>
      </c>
      <c r="L11" s="16">
        <v>1110237</v>
      </c>
      <c r="M11" s="16">
        <f t="shared" si="0"/>
        <v>210945</v>
      </c>
      <c r="N11" s="16">
        <f t="shared" si="1"/>
        <v>1321182</v>
      </c>
      <c r="O11" s="2"/>
      <c r="P11" s="2"/>
      <c r="Q11" s="2"/>
      <c r="R11" s="161"/>
      <c r="S11" s="162"/>
      <c r="T11" s="162"/>
      <c r="U11" s="162"/>
      <c r="V11" s="8"/>
    </row>
    <row r="12" spans="1:22" s="4" customFormat="1" x14ac:dyDescent="0.2">
      <c r="A12" s="13">
        <v>8</v>
      </c>
      <c r="B12" s="13">
        <v>21</v>
      </c>
      <c r="C12" s="13">
        <v>7</v>
      </c>
      <c r="D12" s="14">
        <v>2023</v>
      </c>
      <c r="E12" s="14" t="s">
        <v>77</v>
      </c>
      <c r="F12" s="167">
        <v>43</v>
      </c>
      <c r="G12" s="15" t="s">
        <v>96</v>
      </c>
      <c r="H12" s="15"/>
      <c r="I12" s="15"/>
      <c r="J12" s="168">
        <v>76743492</v>
      </c>
      <c r="K12" s="14">
        <v>8</v>
      </c>
      <c r="L12" s="16">
        <v>158185</v>
      </c>
      <c r="M12" s="16">
        <f t="shared" si="0"/>
        <v>30055</v>
      </c>
      <c r="N12" s="16">
        <f t="shared" si="1"/>
        <v>188240</v>
      </c>
      <c r="O12" s="2"/>
      <c r="P12" s="2"/>
      <c r="Q12" s="2"/>
      <c r="R12" s="161"/>
      <c r="S12" s="162"/>
      <c r="T12" s="162"/>
      <c r="U12" s="162"/>
      <c r="V12" s="8"/>
    </row>
    <row r="13" spans="1:22" s="4" customFormat="1" x14ac:dyDescent="0.2">
      <c r="A13" s="1" t="s">
        <v>51</v>
      </c>
      <c r="B13" s="17"/>
      <c r="C13" s="17"/>
      <c r="D13" s="18"/>
      <c r="E13" s="18"/>
      <c r="F13" s="19"/>
      <c r="G13" s="20"/>
      <c r="H13" s="20"/>
      <c r="I13" s="20"/>
      <c r="J13" s="18"/>
      <c r="K13" s="18"/>
      <c r="L13" s="21">
        <f>SUM(L5:L12)</f>
        <v>3555847</v>
      </c>
      <c r="M13" s="21">
        <f>SUM(M5:M12)</f>
        <v>675611</v>
      </c>
      <c r="N13" s="21">
        <f>SUM(N5:N12)</f>
        <v>4231458</v>
      </c>
      <c r="O13" s="2"/>
      <c r="P13" s="2"/>
    </row>
    <row r="14" spans="1:22" s="4" customFormat="1" x14ac:dyDescent="0.2">
      <c r="A14" s="22">
        <v>1</v>
      </c>
      <c r="B14" s="22"/>
      <c r="C14" s="22">
        <v>7</v>
      </c>
      <c r="D14" s="23">
        <v>2023</v>
      </c>
      <c r="E14" s="23" t="s">
        <v>78</v>
      </c>
      <c r="F14" s="22"/>
      <c r="G14" s="24"/>
      <c r="H14" s="24"/>
      <c r="I14" s="24"/>
      <c r="J14" s="169"/>
      <c r="K14" s="23"/>
      <c r="L14" s="170"/>
      <c r="M14" s="25">
        <f t="shared" ref="M14:M15" si="2">ROUND((L14*19%),0)</f>
        <v>0</v>
      </c>
      <c r="N14" s="25">
        <f>ROUND((L14+M14),0)</f>
        <v>0</v>
      </c>
      <c r="O14" s="2"/>
      <c r="P14" s="2"/>
      <c r="Q14" s="2"/>
    </row>
    <row r="15" spans="1:22" s="4" customFormat="1" x14ac:dyDescent="0.2">
      <c r="A15" s="22">
        <v>2</v>
      </c>
      <c r="B15" s="22"/>
      <c r="C15" s="22">
        <v>7</v>
      </c>
      <c r="D15" s="23">
        <v>2023</v>
      </c>
      <c r="E15" s="23" t="s">
        <v>78</v>
      </c>
      <c r="F15" s="22"/>
      <c r="G15" s="24"/>
      <c r="H15" s="24"/>
      <c r="I15" s="24"/>
      <c r="J15" s="169"/>
      <c r="K15" s="23"/>
      <c r="L15" s="170"/>
      <c r="M15" s="25">
        <f t="shared" si="2"/>
        <v>0</v>
      </c>
      <c r="N15" s="25">
        <f t="shared" ref="N15" si="3">ROUND((L15+M15),0)</f>
        <v>0</v>
      </c>
      <c r="O15" s="2"/>
      <c r="P15" s="2"/>
      <c r="Q15" s="2"/>
    </row>
    <row r="16" spans="1:22" s="4" customFormat="1" x14ac:dyDescent="0.2">
      <c r="A16" s="26" t="s">
        <v>50</v>
      </c>
      <c r="B16" s="27"/>
      <c r="C16" s="27"/>
      <c r="D16" s="28"/>
      <c r="E16" s="28"/>
      <c r="F16" s="29"/>
      <c r="G16" s="30"/>
      <c r="H16" s="30"/>
      <c r="I16" s="30"/>
      <c r="J16" s="28"/>
      <c r="K16" s="28"/>
      <c r="L16" s="31">
        <f>SUM(L14:L15)</f>
        <v>0</v>
      </c>
      <c r="M16" s="31">
        <f>SUM(M14:M15)</f>
        <v>0</v>
      </c>
      <c r="N16" s="31">
        <f>SUM(N14:N15)</f>
        <v>0</v>
      </c>
      <c r="O16" s="30"/>
      <c r="P16" s="30"/>
      <c r="Q16" s="2"/>
      <c r="R16" s="2"/>
      <c r="S16" s="2"/>
    </row>
    <row r="17" spans="1:37" s="4" customFormat="1" x14ac:dyDescent="0.2">
      <c r="A17" s="32">
        <v>1</v>
      </c>
      <c r="B17" s="32"/>
      <c r="C17" s="32">
        <v>7</v>
      </c>
      <c r="D17" s="33">
        <v>2023</v>
      </c>
      <c r="E17" s="33" t="s">
        <v>79</v>
      </c>
      <c r="F17" s="34"/>
      <c r="G17" s="35"/>
      <c r="H17" s="35"/>
      <c r="I17" s="35"/>
      <c r="J17" s="171"/>
      <c r="K17" s="33"/>
      <c r="L17" s="36"/>
      <c r="M17" s="36">
        <f t="shared" ref="M17:M18" si="4">ROUND((L17*19%),0)</f>
        <v>0</v>
      </c>
      <c r="N17" s="36">
        <f t="shared" ref="N17:N18" si="5">SUM(L17:M17)</f>
        <v>0</v>
      </c>
      <c r="O17" s="30"/>
      <c r="P17" s="30"/>
      <c r="R17" s="2"/>
    </row>
    <row r="18" spans="1:37" s="4" customFormat="1" x14ac:dyDescent="0.2">
      <c r="A18" s="32">
        <v>2</v>
      </c>
      <c r="B18" s="32"/>
      <c r="C18" s="32">
        <v>7</v>
      </c>
      <c r="D18" s="33">
        <v>2023</v>
      </c>
      <c r="E18" s="33" t="s">
        <v>79</v>
      </c>
      <c r="F18" s="34"/>
      <c r="G18" s="35"/>
      <c r="H18" s="35"/>
      <c r="I18" s="35"/>
      <c r="J18" s="33"/>
      <c r="K18" s="33"/>
      <c r="L18" s="36"/>
      <c r="M18" s="36">
        <f t="shared" si="4"/>
        <v>0</v>
      </c>
      <c r="N18" s="36">
        <f t="shared" si="5"/>
        <v>0</v>
      </c>
      <c r="O18" s="30"/>
      <c r="P18" s="30"/>
      <c r="Q18" s="2"/>
    </row>
    <row r="19" spans="1:37" s="4" customFormat="1" x14ac:dyDescent="0.2">
      <c r="A19" s="37" t="s">
        <v>65</v>
      </c>
      <c r="B19" s="38"/>
      <c r="C19" s="38"/>
      <c r="D19" s="39"/>
      <c r="E19" s="39"/>
      <c r="F19" s="40"/>
      <c r="G19" s="41"/>
      <c r="H19" s="41"/>
      <c r="I19" s="41"/>
      <c r="J19" s="39"/>
      <c r="K19" s="39"/>
      <c r="L19" s="42">
        <f>SUM(L17:L18)</f>
        <v>0</v>
      </c>
      <c r="M19" s="42">
        <f t="shared" ref="M19:N19" si="6">SUM(M17:M18)</f>
        <v>0</v>
      </c>
      <c r="N19" s="42">
        <f t="shared" si="6"/>
        <v>0</v>
      </c>
      <c r="O19" s="30"/>
      <c r="P19" s="30"/>
      <c r="Q19" s="2"/>
    </row>
    <row r="20" spans="1:37" s="4" customFormat="1" x14ac:dyDescent="0.2">
      <c r="A20" s="43" t="s">
        <v>16</v>
      </c>
      <c r="B20" s="44"/>
      <c r="C20" s="44"/>
      <c r="D20" s="44"/>
      <c r="E20" s="44"/>
      <c r="F20" s="45"/>
      <c r="G20" s="45"/>
      <c r="H20" s="45"/>
      <c r="I20" s="45"/>
      <c r="J20" s="46"/>
      <c r="K20" s="46"/>
      <c r="L20" s="47">
        <f>+L13+L16+L19</f>
        <v>3555847</v>
      </c>
      <c r="M20" s="47">
        <f>+M13+M16+M19</f>
        <v>675611</v>
      </c>
      <c r="N20" s="47">
        <f>+N13+N16+N19</f>
        <v>4231458</v>
      </c>
      <c r="O20" s="2"/>
      <c r="P20" s="2"/>
      <c r="Q20" s="2"/>
      <c r="S20" s="48"/>
      <c r="T20" s="49"/>
      <c r="U20" s="50"/>
    </row>
    <row r="21" spans="1:37" x14ac:dyDescent="0.2">
      <c r="S21" s="48"/>
      <c r="T21" s="49"/>
      <c r="U21" s="50"/>
    </row>
    <row r="22" spans="1:37" s="4" customFormat="1" x14ac:dyDescent="0.2">
      <c r="A22" s="51" t="s">
        <v>6</v>
      </c>
      <c r="B22" s="52"/>
      <c r="C22" s="52"/>
      <c r="D22" s="52"/>
      <c r="E22" s="53"/>
      <c r="F22" s="53"/>
      <c r="G22" s="2"/>
      <c r="H22" s="2"/>
      <c r="I22" s="2"/>
      <c r="J22" s="8"/>
      <c r="K22" s="8"/>
      <c r="L22" s="54"/>
      <c r="M22" s="3"/>
      <c r="N22" s="3"/>
      <c r="O22" s="3"/>
      <c r="P22" s="3"/>
      <c r="Q22" s="3"/>
      <c r="S22" s="48"/>
      <c r="T22" s="49"/>
      <c r="U22" s="50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1:37" x14ac:dyDescent="0.2">
      <c r="A23" s="55" t="s">
        <v>41</v>
      </c>
      <c r="B23" s="56" t="s">
        <v>37</v>
      </c>
      <c r="C23" s="56" t="s">
        <v>38</v>
      </c>
      <c r="D23" s="56" t="s">
        <v>39</v>
      </c>
      <c r="E23" s="191" t="s">
        <v>71</v>
      </c>
      <c r="F23" s="191"/>
      <c r="G23" s="55"/>
      <c r="H23" s="55" t="s">
        <v>4</v>
      </c>
      <c r="I23" s="55"/>
      <c r="J23" s="55" t="s">
        <v>5</v>
      </c>
      <c r="K23" s="55"/>
      <c r="L23" s="55" t="s">
        <v>52</v>
      </c>
      <c r="M23" s="55" t="s">
        <v>35</v>
      </c>
      <c r="N23" s="55" t="s">
        <v>1</v>
      </c>
      <c r="O23" s="55" t="s">
        <v>61</v>
      </c>
      <c r="P23" s="55" t="s">
        <v>2</v>
      </c>
    </row>
    <row r="24" spans="1:37" x14ac:dyDescent="0.2">
      <c r="A24" s="57">
        <v>1</v>
      </c>
      <c r="B24" s="58">
        <v>1</v>
      </c>
      <c r="C24" s="58">
        <v>7</v>
      </c>
      <c r="D24" s="58">
        <v>2023</v>
      </c>
      <c r="E24" s="59" t="s">
        <v>77</v>
      </c>
      <c r="F24" s="59">
        <v>69035539</v>
      </c>
      <c r="G24" s="53" t="s">
        <v>104</v>
      </c>
      <c r="H24" s="60"/>
      <c r="I24" s="53"/>
      <c r="J24" s="61">
        <v>76124890</v>
      </c>
      <c r="K24" s="59">
        <v>1</v>
      </c>
      <c r="L24" s="62">
        <v>80100</v>
      </c>
      <c r="M24" s="62">
        <v>0</v>
      </c>
      <c r="N24" s="62">
        <v>15219</v>
      </c>
      <c r="O24" s="62">
        <v>0</v>
      </c>
      <c r="P24" s="62">
        <f>SUM(L24:O24)</f>
        <v>95319</v>
      </c>
      <c r="Q24" s="121"/>
      <c r="R24" s="166"/>
      <c r="S24" s="166"/>
      <c r="T24" s="166"/>
      <c r="U24" s="166"/>
      <c r="V24" s="166"/>
    </row>
    <row r="25" spans="1:37" x14ac:dyDescent="0.2">
      <c r="A25" s="57">
        <v>2</v>
      </c>
      <c r="B25" s="58">
        <v>14</v>
      </c>
      <c r="C25" s="58">
        <v>7</v>
      </c>
      <c r="D25" s="58">
        <v>2023</v>
      </c>
      <c r="E25" s="59" t="s">
        <v>77</v>
      </c>
      <c r="F25" s="59">
        <v>61614158</v>
      </c>
      <c r="G25" s="53" t="s">
        <v>118</v>
      </c>
      <c r="H25" s="60"/>
      <c r="I25" s="53"/>
      <c r="J25" s="61">
        <v>82982300</v>
      </c>
      <c r="K25" s="59">
        <v>4</v>
      </c>
      <c r="L25" s="62">
        <v>927714</v>
      </c>
      <c r="M25" s="62">
        <v>0</v>
      </c>
      <c r="N25" s="62">
        <v>176266</v>
      </c>
      <c r="O25" s="62">
        <v>0</v>
      </c>
      <c r="P25" s="62">
        <f>SUM(L25:O25)</f>
        <v>1103980</v>
      </c>
      <c r="Q25" s="200"/>
      <c r="U25" s="54"/>
      <c r="V25" s="8"/>
    </row>
    <row r="26" spans="1:37" x14ac:dyDescent="0.2">
      <c r="A26" s="57">
        <v>3</v>
      </c>
      <c r="B26" s="58">
        <v>20</v>
      </c>
      <c r="C26" s="58">
        <v>7</v>
      </c>
      <c r="D26" s="58">
        <v>2023</v>
      </c>
      <c r="E26" s="59" t="s">
        <v>77</v>
      </c>
      <c r="F26" s="59">
        <v>58743</v>
      </c>
      <c r="G26" s="53" t="s">
        <v>109</v>
      </c>
      <c r="H26" s="60"/>
      <c r="I26" s="53"/>
      <c r="J26" s="61">
        <v>77617950</v>
      </c>
      <c r="K26" s="59">
        <v>7</v>
      </c>
      <c r="L26" s="62">
        <v>24540</v>
      </c>
      <c r="M26" s="62">
        <v>0</v>
      </c>
      <c r="N26" s="62">
        <v>4663</v>
      </c>
      <c r="O26" s="63">
        <v>0</v>
      </c>
      <c r="P26" s="63">
        <f>SUM(L26:O26)</f>
        <v>29203</v>
      </c>
      <c r="R26" s="173"/>
      <c r="U26" s="173"/>
      <c r="W26" s="152"/>
    </row>
    <row r="27" spans="1:37" x14ac:dyDescent="0.2">
      <c r="A27" s="1" t="s">
        <v>49</v>
      </c>
      <c r="B27" s="17"/>
      <c r="C27" s="17"/>
      <c r="D27" s="17"/>
      <c r="E27" s="65"/>
      <c r="F27" s="19"/>
      <c r="G27" s="20"/>
      <c r="H27" s="20"/>
      <c r="I27" s="20"/>
      <c r="J27" s="18"/>
      <c r="K27" s="18"/>
      <c r="L27" s="21">
        <f>SUM(L24:L26)</f>
        <v>1032354</v>
      </c>
      <c r="M27" s="21">
        <f>SUM(M24:M26)</f>
        <v>0</v>
      </c>
      <c r="N27" s="21">
        <f>SUM(N24:N26)</f>
        <v>196148</v>
      </c>
      <c r="O27" s="21">
        <f>SUM(O24:O26)</f>
        <v>0</v>
      </c>
      <c r="P27" s="21">
        <f>SUM(P24:P26)</f>
        <v>1228502</v>
      </c>
      <c r="R27" s="121"/>
      <c r="S27" s="54"/>
      <c r="U27" s="172"/>
      <c r="V27" s="153"/>
      <c r="W27" s="153"/>
    </row>
    <row r="28" spans="1:37" x14ac:dyDescent="0.2">
      <c r="A28" s="66">
        <v>1</v>
      </c>
      <c r="B28" s="66"/>
      <c r="C28" s="66">
        <v>7</v>
      </c>
      <c r="D28" s="66">
        <v>2023</v>
      </c>
      <c r="E28" s="67" t="s">
        <v>78</v>
      </c>
      <c r="F28" s="68"/>
      <c r="G28" s="69"/>
      <c r="H28" s="70"/>
      <c r="I28" s="69"/>
      <c r="J28" s="71"/>
      <c r="K28" s="72"/>
      <c r="L28" s="73"/>
      <c r="M28" s="74">
        <v>0</v>
      </c>
      <c r="N28" s="74">
        <f t="shared" ref="N28:N29" si="7">ROUND((L28*19%),0)</f>
        <v>0</v>
      </c>
      <c r="O28" s="74">
        <v>0</v>
      </c>
      <c r="P28" s="74">
        <f>SUM(L28:O28)</f>
        <v>0</v>
      </c>
      <c r="R28" s="121"/>
      <c r="S28" s="4"/>
      <c r="U28" s="173"/>
      <c r="V28" s="153"/>
      <c r="W28" s="153"/>
    </row>
    <row r="29" spans="1:37" x14ac:dyDescent="0.2">
      <c r="A29" s="66">
        <v>2</v>
      </c>
      <c r="B29" s="66"/>
      <c r="C29" s="66">
        <v>7</v>
      </c>
      <c r="D29" s="66">
        <v>2023</v>
      </c>
      <c r="E29" s="67" t="s">
        <v>78</v>
      </c>
      <c r="F29" s="68"/>
      <c r="G29" s="69"/>
      <c r="H29" s="70"/>
      <c r="I29" s="69"/>
      <c r="J29" s="71"/>
      <c r="K29" s="72"/>
      <c r="L29" s="74"/>
      <c r="M29" s="74">
        <v>0</v>
      </c>
      <c r="N29" s="74">
        <f t="shared" si="7"/>
        <v>0</v>
      </c>
      <c r="O29" s="74">
        <v>0</v>
      </c>
      <c r="P29" s="74">
        <f>SUM(L29:O29)</f>
        <v>0</v>
      </c>
      <c r="R29" s="121"/>
      <c r="U29" s="173"/>
      <c r="V29" s="153"/>
      <c r="W29" s="153"/>
    </row>
    <row r="30" spans="1:37" x14ac:dyDescent="0.2">
      <c r="A30" s="26" t="s">
        <v>48</v>
      </c>
      <c r="B30" s="27"/>
      <c r="C30" s="27"/>
      <c r="D30" s="27"/>
      <c r="E30" s="75"/>
      <c r="F30" s="29"/>
      <c r="G30" s="30"/>
      <c r="H30" s="30"/>
      <c r="I30" s="30"/>
      <c r="J30" s="28"/>
      <c r="K30" s="28"/>
      <c r="L30" s="31">
        <f>SUM(L28:L29)</f>
        <v>0</v>
      </c>
      <c r="M30" s="31">
        <f>SUM(M28:M29)</f>
        <v>0</v>
      </c>
      <c r="N30" s="31">
        <f>SUM(N28:N29)</f>
        <v>0</v>
      </c>
      <c r="O30" s="31">
        <f>SUM(O28:O29)</f>
        <v>0</v>
      </c>
      <c r="P30" s="31">
        <f>SUM(P28:P29)</f>
        <v>0</v>
      </c>
      <c r="R30" s="121"/>
      <c r="U30" s="173"/>
      <c r="V30" s="153"/>
      <c r="W30" s="153"/>
    </row>
    <row r="31" spans="1:37" x14ac:dyDescent="0.2">
      <c r="A31" s="76" t="s">
        <v>17</v>
      </c>
      <c r="B31" s="56"/>
      <c r="C31" s="56"/>
      <c r="D31" s="56"/>
      <c r="E31" s="56"/>
      <c r="F31" s="77"/>
      <c r="G31" s="77"/>
      <c r="H31" s="77"/>
      <c r="I31" s="77"/>
      <c r="J31" s="78"/>
      <c r="K31" s="78"/>
      <c r="L31" s="79">
        <f>+L27+L30</f>
        <v>1032354</v>
      </c>
      <c r="M31" s="79">
        <f>+M27-M30</f>
        <v>0</v>
      </c>
      <c r="N31" s="79">
        <f>N27+N30</f>
        <v>196148</v>
      </c>
      <c r="O31" s="79">
        <f>+O27-O30</f>
        <v>0</v>
      </c>
      <c r="P31" s="79">
        <f>+P27+P30</f>
        <v>1228502</v>
      </c>
      <c r="R31" s="121"/>
      <c r="S31" s="4"/>
      <c r="U31" s="173"/>
      <c r="V31" s="153"/>
      <c r="W31" s="153"/>
    </row>
    <row r="32" spans="1:37" x14ac:dyDescent="0.2">
      <c r="R32" s="121"/>
      <c r="S32" s="121"/>
      <c r="T32" s="121"/>
      <c r="U32" s="173"/>
      <c r="V32" s="153"/>
      <c r="W32" s="154"/>
    </row>
    <row r="33" spans="1:28" x14ac:dyDescent="0.2">
      <c r="A33" s="125" t="s">
        <v>7</v>
      </c>
      <c r="B33" s="126"/>
      <c r="C33" s="126"/>
      <c r="D33" s="126"/>
      <c r="E33" s="126"/>
      <c r="F33" s="127"/>
      <c r="J33" s="8"/>
      <c r="K33" s="8"/>
      <c r="L33" s="3"/>
      <c r="M33" s="3"/>
      <c r="N33" s="3"/>
      <c r="O33" s="3"/>
      <c r="P33" s="3"/>
      <c r="Q33" s="3"/>
      <c r="R33" s="2"/>
      <c r="U33" s="4"/>
      <c r="V33" s="156"/>
      <c r="W33" s="155"/>
    </row>
    <row r="34" spans="1:28" x14ac:dyDescent="0.2">
      <c r="A34" s="128" t="s">
        <v>41</v>
      </c>
      <c r="B34" s="129" t="s">
        <v>70</v>
      </c>
      <c r="C34" s="129" t="s">
        <v>38</v>
      </c>
      <c r="D34" s="129" t="s">
        <v>39</v>
      </c>
      <c r="E34" s="192" t="s">
        <v>43</v>
      </c>
      <c r="F34" s="192"/>
      <c r="G34" s="128"/>
      <c r="H34" s="128" t="s">
        <v>8</v>
      </c>
      <c r="I34" s="128"/>
      <c r="J34" s="128" t="s">
        <v>5</v>
      </c>
      <c r="K34" s="128"/>
      <c r="L34" s="128" t="s">
        <v>9</v>
      </c>
      <c r="M34" s="128" t="s">
        <v>97</v>
      </c>
      <c r="N34" s="128" t="s">
        <v>10</v>
      </c>
      <c r="R34" s="2"/>
      <c r="U34" s="4"/>
      <c r="V34" s="156"/>
      <c r="W34" s="156"/>
    </row>
    <row r="35" spans="1:28" x14ac:dyDescent="0.2">
      <c r="A35" s="130">
        <v>1</v>
      </c>
      <c r="B35" s="131"/>
      <c r="C35" s="131">
        <v>7</v>
      </c>
      <c r="D35" s="131">
        <v>2023</v>
      </c>
      <c r="E35" s="132" t="s">
        <v>80</v>
      </c>
      <c r="F35" s="133"/>
      <c r="G35" s="137"/>
      <c r="H35" s="138"/>
      <c r="I35" s="138"/>
      <c r="J35" s="139"/>
      <c r="K35" s="132"/>
      <c r="L35" s="140"/>
      <c r="M35" s="141">
        <f>+L35*0.13</f>
        <v>0</v>
      </c>
      <c r="N35" s="141">
        <f>+L35-M35</f>
        <v>0</v>
      </c>
      <c r="R35" s="2"/>
      <c r="S35" s="4"/>
      <c r="U35" s="4"/>
      <c r="V35" s="156"/>
      <c r="W35" s="155"/>
    </row>
    <row r="36" spans="1:28" x14ac:dyDescent="0.2">
      <c r="A36" s="130">
        <v>2</v>
      </c>
      <c r="B36" s="131"/>
      <c r="C36" s="131">
        <v>7</v>
      </c>
      <c r="D36" s="131">
        <v>2023</v>
      </c>
      <c r="E36" s="132" t="s">
        <v>80</v>
      </c>
      <c r="F36" s="133"/>
      <c r="G36" s="137"/>
      <c r="H36" s="138"/>
      <c r="I36" s="138"/>
      <c r="J36" s="139"/>
      <c r="K36" s="132"/>
      <c r="L36" s="140"/>
      <c r="M36" s="141">
        <f>+L36*0.13</f>
        <v>0</v>
      </c>
      <c r="N36" s="141">
        <f t="shared" ref="N36" si="8">+L36-M36</f>
        <v>0</v>
      </c>
      <c r="R36" s="121"/>
      <c r="S36" s="4"/>
      <c r="U36" s="173"/>
      <c r="V36" s="153"/>
      <c r="W36" s="154"/>
    </row>
    <row r="37" spans="1:28" x14ac:dyDescent="0.2">
      <c r="A37" s="134" t="s">
        <v>18</v>
      </c>
      <c r="B37" s="135"/>
      <c r="C37" s="135"/>
      <c r="D37" s="135"/>
      <c r="E37" s="129"/>
      <c r="F37" s="136"/>
      <c r="G37" s="136"/>
      <c r="H37" s="136"/>
      <c r="I37" s="136"/>
      <c r="J37" s="142"/>
      <c r="K37" s="142"/>
      <c r="L37" s="143">
        <f>SUM(L35:L36)</f>
        <v>0</v>
      </c>
      <c r="M37" s="143">
        <f>SUM(M35:M36)</f>
        <v>0</v>
      </c>
      <c r="N37" s="143">
        <f>SUM(N35:N36)</f>
        <v>0</v>
      </c>
      <c r="R37" s="2"/>
      <c r="U37" s="4"/>
      <c r="V37" s="156"/>
      <c r="W37" s="155"/>
    </row>
    <row r="39" spans="1:28" x14ac:dyDescent="0.2">
      <c r="A39" s="193" t="s">
        <v>113</v>
      </c>
      <c r="B39" s="193"/>
      <c r="C39" s="193"/>
      <c r="D39" s="193"/>
      <c r="E39" s="193"/>
      <c r="F39" s="193"/>
      <c r="G39" s="183" t="s">
        <v>55</v>
      </c>
      <c r="H39" s="183"/>
      <c r="I39" s="183"/>
      <c r="J39" s="183"/>
      <c r="K39" s="183"/>
      <c r="L39" s="184" t="s">
        <v>83</v>
      </c>
      <c r="M39" s="184"/>
      <c r="N39" s="184"/>
      <c r="O39" s="184"/>
      <c r="P39" s="184"/>
      <c r="Q39" s="185" t="s">
        <v>75</v>
      </c>
      <c r="R39" s="185"/>
      <c r="S39" s="186" t="s">
        <v>73</v>
      </c>
      <c r="T39" s="186"/>
      <c r="U39" s="186"/>
      <c r="V39" s="187" t="s">
        <v>12</v>
      </c>
      <c r="W39" s="187"/>
      <c r="X39" s="188" t="s">
        <v>69</v>
      </c>
      <c r="Y39" s="188"/>
      <c r="Z39" s="188"/>
      <c r="AA39" s="188"/>
      <c r="AB39" s="188"/>
    </row>
    <row r="40" spans="1:28" x14ac:dyDescent="0.2">
      <c r="A40" s="83" t="s">
        <v>11</v>
      </c>
      <c r="B40" s="84" t="s">
        <v>47</v>
      </c>
      <c r="C40" s="80"/>
      <c r="D40" s="80"/>
      <c r="E40" s="80"/>
      <c r="F40" s="81">
        <f>+L20</f>
        <v>3555847</v>
      </c>
      <c r="G40" s="82" t="s">
        <v>53</v>
      </c>
      <c r="H40" s="85" t="s">
        <v>52</v>
      </c>
      <c r="I40" s="85" t="s">
        <v>1</v>
      </c>
      <c r="J40" s="85" t="s">
        <v>2</v>
      </c>
      <c r="K40" s="86"/>
      <c r="L40" s="88" t="s">
        <v>52</v>
      </c>
      <c r="M40" s="89" t="s">
        <v>35</v>
      </c>
      <c r="N40" s="88" t="s">
        <v>1</v>
      </c>
      <c r="O40" s="89" t="s">
        <v>67</v>
      </c>
      <c r="P40" s="89" t="s">
        <v>2</v>
      </c>
      <c r="Q40" s="157" t="s">
        <v>76</v>
      </c>
      <c r="R40" s="157" t="s">
        <v>60</v>
      </c>
      <c r="S40" s="90" t="s">
        <v>9</v>
      </c>
      <c r="T40" s="91" t="s">
        <v>74</v>
      </c>
      <c r="U40" s="92" t="s">
        <v>10</v>
      </c>
      <c r="V40" s="87" t="s">
        <v>56</v>
      </c>
      <c r="W40" s="87" t="s">
        <v>57</v>
      </c>
      <c r="X40" s="122" t="s">
        <v>58</v>
      </c>
      <c r="Y40" s="122" t="s">
        <v>68</v>
      </c>
      <c r="Z40" s="122" t="s">
        <v>62</v>
      </c>
      <c r="AA40" s="122" t="s">
        <v>72</v>
      </c>
      <c r="AB40" s="122" t="s">
        <v>59</v>
      </c>
    </row>
    <row r="41" spans="1:28" x14ac:dyDescent="0.2">
      <c r="A41" s="83" t="s">
        <v>11</v>
      </c>
      <c r="B41" s="84" t="s">
        <v>13</v>
      </c>
      <c r="C41" s="84"/>
      <c r="D41" s="84"/>
      <c r="E41" s="84"/>
      <c r="F41" s="81">
        <f>+M13</f>
        <v>675611</v>
      </c>
      <c r="G41" s="86" t="s">
        <v>22</v>
      </c>
      <c r="H41" s="93">
        <v>362422</v>
      </c>
      <c r="I41" s="93">
        <f t="shared" ref="I41:I52" si="9">ROUND((H41*0.19),0)</f>
        <v>68860</v>
      </c>
      <c r="J41" s="93">
        <f>SUM(H41:I41)</f>
        <v>431282</v>
      </c>
      <c r="K41" s="86"/>
      <c r="L41" s="96">
        <v>206080</v>
      </c>
      <c r="M41" s="96">
        <v>0</v>
      </c>
      <c r="N41" s="96">
        <v>39155</v>
      </c>
      <c r="O41" s="97">
        <v>0</v>
      </c>
      <c r="P41" s="97">
        <f>SUM(L41:O41)</f>
        <v>245235</v>
      </c>
      <c r="Q41" s="158">
        <v>0</v>
      </c>
      <c r="R41" s="158">
        <v>0</v>
      </c>
      <c r="S41" s="98">
        <v>0</v>
      </c>
      <c r="T41" s="98">
        <f>+S41*0.13</f>
        <v>0</v>
      </c>
      <c r="U41" s="98">
        <f t="shared" ref="U41:U52" si="10">+S41-T41</f>
        <v>0</v>
      </c>
      <c r="V41" s="94">
        <v>0.1</v>
      </c>
      <c r="W41" s="95">
        <f t="shared" ref="W41:W52" si="11">ROUND((H41*V41),2)</f>
        <v>36242.199999999997</v>
      </c>
      <c r="X41" s="123">
        <v>0</v>
      </c>
      <c r="Y41" s="123">
        <v>0</v>
      </c>
      <c r="Z41" s="123">
        <v>48000</v>
      </c>
      <c r="AA41" s="123">
        <v>0</v>
      </c>
      <c r="AB41" s="123">
        <v>30084</v>
      </c>
    </row>
    <row r="42" spans="1:28" x14ac:dyDescent="0.2">
      <c r="A42" s="83" t="s">
        <v>11</v>
      </c>
      <c r="B42" s="99" t="s">
        <v>45</v>
      </c>
      <c r="C42" s="84"/>
      <c r="D42" s="84"/>
      <c r="E42" s="84"/>
      <c r="F42" s="100">
        <f>+M16</f>
        <v>0</v>
      </c>
      <c r="G42" s="86" t="s">
        <v>23</v>
      </c>
      <c r="H42" s="93">
        <v>727324</v>
      </c>
      <c r="I42" s="93">
        <v>138191</v>
      </c>
      <c r="J42" s="93">
        <f t="shared" ref="J42:J52" si="12">SUM(H42:I42)</f>
        <v>865515</v>
      </c>
      <c r="K42" s="86"/>
      <c r="L42" s="96">
        <v>24120</v>
      </c>
      <c r="M42" s="96">
        <v>0</v>
      </c>
      <c r="N42" s="96">
        <v>4583</v>
      </c>
      <c r="O42" s="97">
        <v>0</v>
      </c>
      <c r="P42" s="97">
        <f t="shared" ref="P42:P52" si="13">SUM(L42:O42)</f>
        <v>28703</v>
      </c>
      <c r="Q42" s="158">
        <v>0</v>
      </c>
      <c r="R42" s="158">
        <v>0</v>
      </c>
      <c r="S42" s="98">
        <v>0</v>
      </c>
      <c r="T42" s="98">
        <f t="shared" ref="T42:T52" si="14">+S42*0.13</f>
        <v>0</v>
      </c>
      <c r="U42" s="98">
        <f t="shared" si="10"/>
        <v>0</v>
      </c>
      <c r="V42" s="94">
        <v>0.1</v>
      </c>
      <c r="W42" s="95">
        <f t="shared" si="11"/>
        <v>72732.399999999994</v>
      </c>
      <c r="X42" s="123">
        <v>0</v>
      </c>
      <c r="Y42" s="123">
        <v>0</v>
      </c>
      <c r="Z42" s="123">
        <v>48000</v>
      </c>
      <c r="AA42" s="123">
        <v>0</v>
      </c>
      <c r="AB42" s="123">
        <v>0</v>
      </c>
    </row>
    <row r="43" spans="1:28" s="4" customFormat="1" x14ac:dyDescent="0.2">
      <c r="A43" s="83" t="s">
        <v>11</v>
      </c>
      <c r="B43" s="101" t="s">
        <v>64</v>
      </c>
      <c r="C43" s="101"/>
      <c r="D43" s="84"/>
      <c r="E43" s="84"/>
      <c r="F43" s="102">
        <v>0</v>
      </c>
      <c r="G43" s="86" t="s">
        <v>24</v>
      </c>
      <c r="H43" s="93">
        <v>3119121</v>
      </c>
      <c r="I43" s="93">
        <f t="shared" si="9"/>
        <v>592633</v>
      </c>
      <c r="J43" s="93">
        <f t="shared" si="12"/>
        <v>3711754</v>
      </c>
      <c r="K43" s="86"/>
      <c r="L43" s="96">
        <v>25050</v>
      </c>
      <c r="M43" s="96">
        <v>0</v>
      </c>
      <c r="N43" s="96">
        <v>4760</v>
      </c>
      <c r="O43" s="97">
        <v>0</v>
      </c>
      <c r="P43" s="97">
        <f t="shared" si="13"/>
        <v>29810</v>
      </c>
      <c r="Q43" s="158">
        <v>0</v>
      </c>
      <c r="R43" s="158">
        <v>0</v>
      </c>
      <c r="S43" s="98">
        <v>0</v>
      </c>
      <c r="T43" s="98">
        <f t="shared" si="14"/>
        <v>0</v>
      </c>
      <c r="U43" s="98">
        <f t="shared" si="10"/>
        <v>0</v>
      </c>
      <c r="V43" s="94">
        <v>0.1</v>
      </c>
      <c r="W43" s="95">
        <f t="shared" si="11"/>
        <v>311912.09999999998</v>
      </c>
      <c r="X43" s="123">
        <v>0</v>
      </c>
      <c r="Y43" s="123">
        <v>0</v>
      </c>
      <c r="Z43" s="123">
        <v>48000</v>
      </c>
      <c r="AA43" s="123">
        <v>0</v>
      </c>
      <c r="AB43" s="123">
        <v>0</v>
      </c>
    </row>
    <row r="44" spans="1:28" s="4" customFormat="1" x14ac:dyDescent="0.2">
      <c r="A44" s="83" t="s">
        <v>11</v>
      </c>
      <c r="B44" s="84" t="s">
        <v>63</v>
      </c>
      <c r="C44" s="84"/>
      <c r="D44" s="84"/>
      <c r="E44" s="84"/>
      <c r="F44" s="103">
        <f>SUM(F41:F42)</f>
        <v>675611</v>
      </c>
      <c r="G44" s="86" t="s">
        <v>25</v>
      </c>
      <c r="H44" s="93">
        <v>548065</v>
      </c>
      <c r="I44" s="93">
        <f t="shared" si="9"/>
        <v>104132</v>
      </c>
      <c r="J44" s="93">
        <f t="shared" si="12"/>
        <v>652197</v>
      </c>
      <c r="K44" s="93"/>
      <c r="L44" s="96">
        <v>93368</v>
      </c>
      <c r="M44" s="96">
        <v>0</v>
      </c>
      <c r="N44" s="96">
        <v>18310</v>
      </c>
      <c r="O44" s="97">
        <v>0</v>
      </c>
      <c r="P44" s="97">
        <f t="shared" si="13"/>
        <v>111678</v>
      </c>
      <c r="Q44" s="158">
        <v>0</v>
      </c>
      <c r="R44" s="158">
        <v>0</v>
      </c>
      <c r="S44" s="98">
        <v>0</v>
      </c>
      <c r="T44" s="98">
        <f t="shared" si="14"/>
        <v>0</v>
      </c>
      <c r="U44" s="98">
        <f t="shared" si="10"/>
        <v>0</v>
      </c>
      <c r="V44" s="94">
        <v>0.1</v>
      </c>
      <c r="W44" s="95">
        <f t="shared" si="11"/>
        <v>54806.5</v>
      </c>
      <c r="X44" s="123">
        <v>0</v>
      </c>
      <c r="Y44" s="123">
        <v>0</v>
      </c>
      <c r="Z44" s="123">
        <v>48000</v>
      </c>
      <c r="AA44" s="123">
        <v>0</v>
      </c>
      <c r="AB44" s="123">
        <v>0</v>
      </c>
    </row>
    <row r="45" spans="1:28" s="4" customFormat="1" x14ac:dyDescent="0.2">
      <c r="A45" s="83" t="s">
        <v>11</v>
      </c>
      <c r="B45" s="99" t="s">
        <v>14</v>
      </c>
      <c r="C45" s="84"/>
      <c r="D45" s="84"/>
      <c r="E45" s="84"/>
      <c r="F45" s="100">
        <f>-N27</f>
        <v>-196148</v>
      </c>
      <c r="G45" s="86" t="s">
        <v>26</v>
      </c>
      <c r="H45" s="93">
        <v>238087</v>
      </c>
      <c r="I45" s="93">
        <f t="shared" si="9"/>
        <v>45237</v>
      </c>
      <c r="J45" s="93">
        <f t="shared" si="12"/>
        <v>283324</v>
      </c>
      <c r="K45" s="93"/>
      <c r="L45" s="96">
        <v>111383</v>
      </c>
      <c r="M45" s="96">
        <v>0</v>
      </c>
      <c r="N45" s="96">
        <v>21163</v>
      </c>
      <c r="O45" s="97">
        <v>0</v>
      </c>
      <c r="P45" s="97">
        <f t="shared" si="13"/>
        <v>132546</v>
      </c>
      <c r="Q45" s="158">
        <v>0</v>
      </c>
      <c r="R45" s="158">
        <v>0</v>
      </c>
      <c r="S45" s="98">
        <v>0</v>
      </c>
      <c r="T45" s="98">
        <f t="shared" si="14"/>
        <v>0</v>
      </c>
      <c r="U45" s="98">
        <f t="shared" si="10"/>
        <v>0</v>
      </c>
      <c r="V45" s="94">
        <v>0.1</v>
      </c>
      <c r="W45" s="95">
        <f t="shared" si="11"/>
        <v>23808.7</v>
      </c>
      <c r="X45" s="123">
        <v>0</v>
      </c>
      <c r="Y45" s="123">
        <v>0</v>
      </c>
      <c r="Z45" s="123">
        <v>48000</v>
      </c>
      <c r="AA45" s="123">
        <v>0</v>
      </c>
      <c r="AB45" s="123">
        <v>0</v>
      </c>
    </row>
    <row r="46" spans="1:28" s="4" customFormat="1" x14ac:dyDescent="0.2">
      <c r="A46" s="83" t="s">
        <v>11</v>
      </c>
      <c r="B46" s="84" t="s">
        <v>46</v>
      </c>
      <c r="C46" s="84"/>
      <c r="D46" s="84"/>
      <c r="E46" s="84"/>
      <c r="F46" s="81">
        <f>-N30</f>
        <v>0</v>
      </c>
      <c r="G46" s="86" t="s">
        <v>27</v>
      </c>
      <c r="H46" s="93">
        <v>338803</v>
      </c>
      <c r="I46" s="93">
        <f t="shared" si="9"/>
        <v>64373</v>
      </c>
      <c r="J46" s="93">
        <f t="shared" si="12"/>
        <v>403176</v>
      </c>
      <c r="K46" s="93"/>
      <c r="L46" s="96">
        <v>111033</v>
      </c>
      <c r="M46" s="96">
        <v>0</v>
      </c>
      <c r="N46" s="96">
        <v>21095</v>
      </c>
      <c r="O46" s="97">
        <v>0</v>
      </c>
      <c r="P46" s="97">
        <f t="shared" si="13"/>
        <v>132128</v>
      </c>
      <c r="Q46" s="158">
        <v>0</v>
      </c>
      <c r="R46" s="158">
        <v>0</v>
      </c>
      <c r="S46" s="98">
        <v>0</v>
      </c>
      <c r="T46" s="98">
        <f t="shared" si="14"/>
        <v>0</v>
      </c>
      <c r="U46" s="98">
        <f t="shared" si="10"/>
        <v>0</v>
      </c>
      <c r="V46" s="94">
        <v>0.15</v>
      </c>
      <c r="W46" s="95">
        <f t="shared" si="11"/>
        <v>50820.45</v>
      </c>
      <c r="X46" s="123">
        <v>0</v>
      </c>
      <c r="Y46" s="123">
        <v>0</v>
      </c>
      <c r="Z46" s="123">
        <v>48000</v>
      </c>
      <c r="AA46" s="123">
        <v>0</v>
      </c>
      <c r="AB46" s="123">
        <v>0</v>
      </c>
    </row>
    <row r="47" spans="1:28" s="4" customFormat="1" x14ac:dyDescent="0.2">
      <c r="A47" s="83" t="s">
        <v>11</v>
      </c>
      <c r="B47" s="84" t="s">
        <v>15</v>
      </c>
      <c r="C47" s="84"/>
      <c r="D47" s="84"/>
      <c r="E47" s="84"/>
      <c r="F47" s="81">
        <f>SUM(F44:F46)</f>
        <v>479463</v>
      </c>
      <c r="G47" s="86" t="s">
        <v>28</v>
      </c>
      <c r="H47" s="93">
        <v>3555847</v>
      </c>
      <c r="I47" s="93">
        <f t="shared" si="9"/>
        <v>675611</v>
      </c>
      <c r="J47" s="93">
        <f t="shared" si="12"/>
        <v>4231458</v>
      </c>
      <c r="K47" s="93"/>
      <c r="L47" s="96">
        <v>1032354</v>
      </c>
      <c r="M47" s="96">
        <v>0</v>
      </c>
      <c r="N47" s="96">
        <v>196148</v>
      </c>
      <c r="O47" s="97">
        <v>0</v>
      </c>
      <c r="P47" s="97">
        <f t="shared" si="13"/>
        <v>1228502</v>
      </c>
      <c r="Q47" s="158">
        <v>0</v>
      </c>
      <c r="R47" s="158">
        <v>0</v>
      </c>
      <c r="S47" s="98">
        <v>0</v>
      </c>
      <c r="T47" s="98">
        <f t="shared" si="14"/>
        <v>0</v>
      </c>
      <c r="U47" s="98">
        <f t="shared" si="10"/>
        <v>0</v>
      </c>
      <c r="V47" s="94">
        <v>5.0000000000000001E-3</v>
      </c>
      <c r="W47" s="95">
        <f t="shared" si="11"/>
        <v>17779.240000000002</v>
      </c>
      <c r="X47" s="123">
        <v>0</v>
      </c>
      <c r="Y47" s="123">
        <v>0</v>
      </c>
      <c r="Z47" s="123">
        <v>48000</v>
      </c>
      <c r="AA47" s="123">
        <v>0</v>
      </c>
      <c r="AB47" s="123">
        <v>31537</v>
      </c>
    </row>
    <row r="48" spans="1:28" s="4" customFormat="1" x14ac:dyDescent="0.2">
      <c r="A48" s="83" t="s">
        <v>11</v>
      </c>
      <c r="B48" s="84" t="s">
        <v>34</v>
      </c>
      <c r="C48" s="84"/>
      <c r="D48" s="84"/>
      <c r="E48" s="84"/>
      <c r="F48" s="81">
        <f>+M37</f>
        <v>0</v>
      </c>
      <c r="G48" s="86" t="s">
        <v>29</v>
      </c>
      <c r="H48" s="93">
        <v>0</v>
      </c>
      <c r="I48" s="93">
        <f t="shared" si="9"/>
        <v>0</v>
      </c>
      <c r="J48" s="93">
        <f t="shared" si="12"/>
        <v>0</v>
      </c>
      <c r="K48" s="93"/>
      <c r="L48" s="96">
        <v>0</v>
      </c>
      <c r="M48" s="96">
        <v>0</v>
      </c>
      <c r="N48" s="96">
        <v>0</v>
      </c>
      <c r="O48" s="97">
        <v>0</v>
      </c>
      <c r="P48" s="97">
        <f t="shared" si="13"/>
        <v>0</v>
      </c>
      <c r="Q48" s="158">
        <v>0</v>
      </c>
      <c r="R48" s="158">
        <v>0</v>
      </c>
      <c r="S48" s="98">
        <v>0</v>
      </c>
      <c r="T48" s="98">
        <f t="shared" si="14"/>
        <v>0</v>
      </c>
      <c r="U48" s="98">
        <f t="shared" si="10"/>
        <v>0</v>
      </c>
      <c r="V48" s="94"/>
      <c r="W48" s="95">
        <f t="shared" si="11"/>
        <v>0</v>
      </c>
      <c r="X48" s="123">
        <v>0</v>
      </c>
      <c r="Y48" s="123">
        <v>0</v>
      </c>
      <c r="Z48" s="123">
        <v>0</v>
      </c>
      <c r="AA48" s="123">
        <v>0</v>
      </c>
      <c r="AB48" s="123">
        <v>0</v>
      </c>
    </row>
    <row r="49" spans="1:35" s="4" customFormat="1" x14ac:dyDescent="0.2">
      <c r="A49" s="83" t="s">
        <v>11</v>
      </c>
      <c r="B49" s="84" t="s">
        <v>12</v>
      </c>
      <c r="C49" s="84"/>
      <c r="D49" s="104">
        <v>5.0000000000000001E-3</v>
      </c>
      <c r="E49" s="84"/>
      <c r="F49" s="81">
        <f>ROUND((L20*D49),0)</f>
        <v>17779</v>
      </c>
      <c r="G49" s="86" t="s">
        <v>30</v>
      </c>
      <c r="H49" s="93">
        <v>0</v>
      </c>
      <c r="I49" s="93">
        <f t="shared" si="9"/>
        <v>0</v>
      </c>
      <c r="J49" s="93">
        <f t="shared" si="12"/>
        <v>0</v>
      </c>
      <c r="K49" s="93"/>
      <c r="L49" s="96">
        <v>0</v>
      </c>
      <c r="M49" s="96">
        <v>0</v>
      </c>
      <c r="N49" s="96">
        <v>0</v>
      </c>
      <c r="O49" s="97">
        <v>0</v>
      </c>
      <c r="P49" s="97">
        <f t="shared" si="13"/>
        <v>0</v>
      </c>
      <c r="Q49" s="158">
        <v>0</v>
      </c>
      <c r="R49" s="158">
        <v>0</v>
      </c>
      <c r="S49" s="98">
        <v>0</v>
      </c>
      <c r="T49" s="98">
        <f t="shared" si="14"/>
        <v>0</v>
      </c>
      <c r="U49" s="98">
        <f t="shared" si="10"/>
        <v>0</v>
      </c>
      <c r="V49" s="94"/>
      <c r="W49" s="95">
        <f t="shared" si="11"/>
        <v>0</v>
      </c>
      <c r="X49" s="123">
        <v>0</v>
      </c>
      <c r="Y49" s="123">
        <v>0</v>
      </c>
      <c r="Z49" s="123">
        <v>0</v>
      </c>
      <c r="AA49" s="123">
        <v>0</v>
      </c>
      <c r="AB49" s="123">
        <v>0</v>
      </c>
    </row>
    <row r="50" spans="1:35" s="4" customFormat="1" x14ac:dyDescent="0.2">
      <c r="A50" s="83" t="s">
        <v>11</v>
      </c>
      <c r="B50" s="105" t="s">
        <v>66</v>
      </c>
      <c r="C50" s="106"/>
      <c r="D50" s="106"/>
      <c r="E50" s="84"/>
      <c r="F50" s="107">
        <v>0</v>
      </c>
      <c r="G50" s="86" t="s">
        <v>31</v>
      </c>
      <c r="H50" s="93">
        <v>0</v>
      </c>
      <c r="I50" s="93">
        <f t="shared" si="9"/>
        <v>0</v>
      </c>
      <c r="J50" s="93">
        <f t="shared" si="12"/>
        <v>0</v>
      </c>
      <c r="K50" s="93"/>
      <c r="L50" s="96">
        <v>0</v>
      </c>
      <c r="M50" s="96">
        <v>0</v>
      </c>
      <c r="N50" s="96">
        <v>0</v>
      </c>
      <c r="O50" s="97">
        <v>0</v>
      </c>
      <c r="P50" s="97">
        <f t="shared" si="13"/>
        <v>0</v>
      </c>
      <c r="Q50" s="158">
        <v>0</v>
      </c>
      <c r="R50" s="158">
        <v>0</v>
      </c>
      <c r="S50" s="98">
        <v>0</v>
      </c>
      <c r="T50" s="98">
        <f t="shared" si="14"/>
        <v>0</v>
      </c>
      <c r="U50" s="98">
        <f t="shared" si="10"/>
        <v>0</v>
      </c>
      <c r="V50" s="94"/>
      <c r="W50" s="95">
        <f t="shared" si="11"/>
        <v>0</v>
      </c>
      <c r="X50" s="123">
        <v>0</v>
      </c>
      <c r="Y50" s="123">
        <v>0</v>
      </c>
      <c r="Z50" s="123">
        <v>0</v>
      </c>
      <c r="AA50" s="123">
        <v>0</v>
      </c>
      <c r="AB50" s="123">
        <v>0</v>
      </c>
    </row>
    <row r="51" spans="1:35" s="4" customFormat="1" x14ac:dyDescent="0.2">
      <c r="A51" s="83" t="s">
        <v>11</v>
      </c>
      <c r="B51" s="106" t="s">
        <v>19</v>
      </c>
      <c r="C51" s="106"/>
      <c r="D51" s="106"/>
      <c r="E51" s="84"/>
      <c r="F51" s="108">
        <f>SUM(F47:F49)</f>
        <v>497242</v>
      </c>
      <c r="G51" s="86" t="s">
        <v>32</v>
      </c>
      <c r="H51" s="93">
        <v>0</v>
      </c>
      <c r="I51" s="93">
        <f t="shared" si="9"/>
        <v>0</v>
      </c>
      <c r="J51" s="93">
        <f t="shared" si="12"/>
        <v>0</v>
      </c>
      <c r="K51" s="93"/>
      <c r="L51" s="96">
        <v>0</v>
      </c>
      <c r="M51" s="96">
        <v>0</v>
      </c>
      <c r="N51" s="96">
        <v>0</v>
      </c>
      <c r="O51" s="97">
        <v>0</v>
      </c>
      <c r="P51" s="97">
        <f t="shared" si="13"/>
        <v>0</v>
      </c>
      <c r="Q51" s="158">
        <v>0</v>
      </c>
      <c r="R51" s="158">
        <v>0</v>
      </c>
      <c r="S51" s="98">
        <v>0</v>
      </c>
      <c r="T51" s="98">
        <f t="shared" si="14"/>
        <v>0</v>
      </c>
      <c r="U51" s="98">
        <f t="shared" si="10"/>
        <v>0</v>
      </c>
      <c r="V51" s="94"/>
      <c r="W51" s="95">
        <f t="shared" si="11"/>
        <v>0</v>
      </c>
      <c r="X51" s="123">
        <v>0</v>
      </c>
      <c r="Y51" s="123">
        <v>0</v>
      </c>
      <c r="Z51" s="123">
        <v>0</v>
      </c>
      <c r="AA51" s="123">
        <v>0</v>
      </c>
      <c r="AB51" s="123">
        <v>0</v>
      </c>
    </row>
    <row r="52" spans="1:35" s="4" customFormat="1" x14ac:dyDescent="0.2">
      <c r="A52" s="109" t="s">
        <v>20</v>
      </c>
      <c r="B52" s="110"/>
      <c r="C52" s="110"/>
      <c r="D52" s="110"/>
      <c r="E52" s="110"/>
      <c r="F52" s="111">
        <f>+F47+F49</f>
        <v>497242</v>
      </c>
      <c r="G52" s="86" t="s">
        <v>33</v>
      </c>
      <c r="H52" s="93">
        <v>0</v>
      </c>
      <c r="I52" s="93">
        <f t="shared" si="9"/>
        <v>0</v>
      </c>
      <c r="J52" s="93">
        <f t="shared" si="12"/>
        <v>0</v>
      </c>
      <c r="K52" s="93"/>
      <c r="L52" s="96">
        <v>0</v>
      </c>
      <c r="M52" s="96">
        <v>0</v>
      </c>
      <c r="N52" s="96">
        <v>0</v>
      </c>
      <c r="O52" s="97">
        <v>0</v>
      </c>
      <c r="P52" s="97">
        <f t="shared" si="13"/>
        <v>0</v>
      </c>
      <c r="Q52" s="158">
        <v>0</v>
      </c>
      <c r="R52" s="158">
        <v>0</v>
      </c>
      <c r="S52" s="98">
        <v>0</v>
      </c>
      <c r="T52" s="98">
        <f t="shared" si="14"/>
        <v>0</v>
      </c>
      <c r="U52" s="98">
        <f t="shared" si="10"/>
        <v>0</v>
      </c>
      <c r="V52" s="94"/>
      <c r="W52" s="95">
        <f t="shared" si="11"/>
        <v>0</v>
      </c>
      <c r="X52" s="123">
        <v>0</v>
      </c>
      <c r="Y52" s="123">
        <v>0</v>
      </c>
      <c r="Z52" s="123">
        <v>0</v>
      </c>
      <c r="AA52" s="123">
        <v>0</v>
      </c>
      <c r="AB52" s="123">
        <v>0</v>
      </c>
    </row>
    <row r="53" spans="1:35" s="4" customFormat="1" x14ac:dyDescent="0.2">
      <c r="A53" s="109" t="s">
        <v>21</v>
      </c>
      <c r="B53" s="110"/>
      <c r="C53" s="110"/>
      <c r="D53" s="110"/>
      <c r="E53" s="110"/>
      <c r="F53" s="112">
        <f>+F52/L20</f>
        <v>0.13983785016621919</v>
      </c>
      <c r="G53" s="113" t="s">
        <v>36</v>
      </c>
      <c r="H53" s="114">
        <f>SUM(H41:H52)</f>
        <v>8889669</v>
      </c>
      <c r="I53" s="114">
        <f>SUM(I41:I52)</f>
        <v>1689037</v>
      </c>
      <c r="J53" s="114">
        <f>SUM(J41:J52)</f>
        <v>10578706</v>
      </c>
      <c r="K53" s="93"/>
      <c r="L53" s="116">
        <f>SUM(L41:L52)</f>
        <v>1603388</v>
      </c>
      <c r="M53" s="116">
        <f t="shared" ref="M53:P53" si="15">SUM(M41:M52)</f>
        <v>0</v>
      </c>
      <c r="N53" s="116">
        <f t="shared" si="15"/>
        <v>305214</v>
      </c>
      <c r="O53" s="116">
        <f t="shared" si="15"/>
        <v>0</v>
      </c>
      <c r="P53" s="116">
        <f t="shared" si="15"/>
        <v>1908602</v>
      </c>
      <c r="Q53" s="159">
        <f>SUM(Q41:Q52)</f>
        <v>0</v>
      </c>
      <c r="R53" s="159">
        <f>SUM(R41:R52)</f>
        <v>0</v>
      </c>
      <c r="S53" s="117">
        <f>SUM(S41:S52)</f>
        <v>0</v>
      </c>
      <c r="T53" s="117">
        <f t="shared" ref="T53:U53" si="16">SUM(T41:T52)</f>
        <v>0</v>
      </c>
      <c r="U53" s="117">
        <f t="shared" si="16"/>
        <v>0</v>
      </c>
      <c r="V53" s="144">
        <f>SUM(V41:V52)</f>
        <v>0.65500000000000003</v>
      </c>
      <c r="W53" s="115">
        <f>SUM(W41:W52)</f>
        <v>568101.59</v>
      </c>
      <c r="X53" s="124">
        <f>SUM(X41:X52)</f>
        <v>0</v>
      </c>
      <c r="Y53" s="124">
        <f t="shared" ref="Y53:AB53" si="17">SUM(Y41:Y52)</f>
        <v>0</v>
      </c>
      <c r="Z53" s="124">
        <f t="shared" si="17"/>
        <v>336000</v>
      </c>
      <c r="AA53" s="124">
        <f>SUM(AA41:AA52)</f>
        <v>0</v>
      </c>
      <c r="AB53" s="124">
        <f t="shared" si="17"/>
        <v>61621</v>
      </c>
    </row>
    <row r="54" spans="1:35" s="4" customFormat="1" x14ac:dyDescent="0.2">
      <c r="A54" s="118" t="s">
        <v>125</v>
      </c>
      <c r="B54" s="119"/>
      <c r="C54" s="119"/>
      <c r="D54" s="119"/>
      <c r="E54" s="119"/>
      <c r="F54" s="120">
        <f>+F47/L20</f>
        <v>0.13483791625455202</v>
      </c>
      <c r="G54" s="145" t="s">
        <v>54</v>
      </c>
      <c r="H54" s="146">
        <f>+H53/7</f>
        <v>1269952.7142857143</v>
      </c>
      <c r="I54" s="146">
        <f>+I53/7</f>
        <v>241291</v>
      </c>
      <c r="J54" s="146">
        <f>+J53/7</f>
        <v>1511243.7142857143</v>
      </c>
      <c r="K54" s="145"/>
      <c r="L54" s="149">
        <f t="shared" ref="L54:AB54" si="18">+L53/7</f>
        <v>229055.42857142858</v>
      </c>
      <c r="M54" s="149">
        <f t="shared" si="18"/>
        <v>0</v>
      </c>
      <c r="N54" s="149">
        <f t="shared" si="18"/>
        <v>43602</v>
      </c>
      <c r="O54" s="149">
        <f t="shared" si="18"/>
        <v>0</v>
      </c>
      <c r="P54" s="149">
        <f t="shared" si="18"/>
        <v>272657.42857142858</v>
      </c>
      <c r="Q54" s="160">
        <f t="shared" si="18"/>
        <v>0</v>
      </c>
      <c r="R54" s="160">
        <f t="shared" si="18"/>
        <v>0</v>
      </c>
      <c r="S54" s="150">
        <f t="shared" si="18"/>
        <v>0</v>
      </c>
      <c r="T54" s="150">
        <f t="shared" si="18"/>
        <v>0</v>
      </c>
      <c r="U54" s="150">
        <f t="shared" si="18"/>
        <v>0</v>
      </c>
      <c r="V54" s="147">
        <f t="shared" si="18"/>
        <v>9.3571428571428569E-2</v>
      </c>
      <c r="W54" s="148">
        <f t="shared" si="18"/>
        <v>81157.37</v>
      </c>
      <c r="X54" s="151">
        <f t="shared" si="18"/>
        <v>0</v>
      </c>
      <c r="Y54" s="151">
        <f t="shared" si="18"/>
        <v>0</v>
      </c>
      <c r="Z54" s="151">
        <f t="shared" si="18"/>
        <v>48000</v>
      </c>
      <c r="AA54" s="151">
        <f t="shared" si="18"/>
        <v>0</v>
      </c>
      <c r="AB54" s="151">
        <f t="shared" si="18"/>
        <v>8803</v>
      </c>
    </row>
    <row r="55" spans="1:35" s="4" customFormat="1" x14ac:dyDescent="0.2">
      <c r="A55" s="2"/>
      <c r="B55" s="2"/>
      <c r="C55" s="2"/>
      <c r="D55" s="2"/>
      <c r="E55" s="2"/>
      <c r="F55" s="2"/>
      <c r="G55" s="2"/>
      <c r="Q55" s="2"/>
      <c r="R55" s="2"/>
      <c r="T55" s="2"/>
      <c r="U55" s="2"/>
    </row>
    <row r="56" spans="1:35" x14ac:dyDescent="0.2">
      <c r="X56" s="121"/>
      <c r="AB56" s="121"/>
      <c r="AD56" s="4"/>
      <c r="AF56" s="121"/>
      <c r="AI56" s="121">
        <v>-4.5</v>
      </c>
    </row>
    <row r="57" spans="1:35" x14ac:dyDescent="0.2">
      <c r="AD57" s="4"/>
    </row>
  </sheetData>
  <mergeCells count="12">
    <mergeCell ref="X39:AB39"/>
    <mergeCell ref="B3:D3"/>
    <mergeCell ref="E3:F3"/>
    <mergeCell ref="E4:F4"/>
    <mergeCell ref="E23:F23"/>
    <mergeCell ref="E34:F34"/>
    <mergeCell ref="A39:F39"/>
    <mergeCell ref="G39:K39"/>
    <mergeCell ref="L39:P39"/>
    <mergeCell ref="Q39:R39"/>
    <mergeCell ref="S39:U39"/>
    <mergeCell ref="V39:W39"/>
  </mergeCells>
  <pageMargins left="0.7" right="0.7" top="0.75" bottom="0.75" header="0.3" footer="0.3"/>
  <pageSetup orientation="portrait" horizontalDpi="200" verticalDpi="200" r:id="rId1"/>
  <ignoredErrors>
    <ignoredError sqref="P24:P26" formulaRange="1"/>
    <ignoredError sqref="N31 M13:N17" formula="1"/>
    <ignoredError sqref="P27" formula="1" formulaRange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E3594-8507-4A47-9F20-CCE748AFFB8D}">
  <dimension ref="A1:AK53"/>
  <sheetViews>
    <sheetView zoomScale="117" zoomScaleNormal="117" workbookViewId="0">
      <pane ySplit="4" topLeftCell="A13" activePane="bottomLeft" state="frozen"/>
      <selection pane="bottomLeft" activeCell="P34" sqref="P34"/>
    </sheetView>
  </sheetViews>
  <sheetFormatPr baseColWidth="10" defaultColWidth="11.42578125" defaultRowHeight="11.25" x14ac:dyDescent="0.2"/>
  <cols>
    <col min="1" max="3" width="3.7109375" style="2" customWidth="1"/>
    <col min="4" max="4" width="5.7109375" style="2" customWidth="1"/>
    <col min="5" max="5" width="3.7109375" style="2" customWidth="1"/>
    <col min="6" max="10" width="9.28515625" style="2" customWidth="1"/>
    <col min="11" max="11" width="1.7109375" style="2" customWidth="1"/>
    <col min="12" max="17" width="9.28515625" style="2" customWidth="1"/>
    <col min="18" max="18" width="9.28515625" style="4" customWidth="1"/>
    <col min="19" max="28" width="9.28515625" style="2" customWidth="1"/>
    <col min="29" max="16384" width="11.42578125" style="2"/>
  </cols>
  <sheetData>
    <row r="1" spans="1:22" s="4" customFormat="1" x14ac:dyDescent="0.2">
      <c r="A1" s="174" t="s">
        <v>105</v>
      </c>
      <c r="B1" s="175"/>
      <c r="C1" s="175"/>
      <c r="D1" s="175"/>
      <c r="E1" s="176"/>
      <c r="F1" s="176"/>
      <c r="G1" s="37" t="s">
        <v>44</v>
      </c>
      <c r="H1" s="50"/>
      <c r="I1" s="176"/>
      <c r="J1" s="176"/>
      <c r="K1" s="177"/>
      <c r="L1" s="176"/>
      <c r="M1" s="178" t="s">
        <v>110</v>
      </c>
      <c r="N1" s="177">
        <v>2023</v>
      </c>
      <c r="O1" s="3"/>
      <c r="P1" s="3"/>
      <c r="Q1" s="3"/>
    </row>
    <row r="2" spans="1:22" s="4" customFormat="1" x14ac:dyDescent="0.2">
      <c r="A2" s="5" t="s">
        <v>3</v>
      </c>
      <c r="B2" s="6"/>
      <c r="C2" s="6"/>
      <c r="D2" s="6"/>
      <c r="E2" s="6"/>
      <c r="F2" s="7"/>
      <c r="G2" s="2"/>
      <c r="H2" s="2"/>
      <c r="I2" s="2"/>
      <c r="J2" s="8"/>
      <c r="K2" s="8"/>
      <c r="L2" s="3"/>
      <c r="M2" s="3"/>
      <c r="N2" s="3"/>
      <c r="O2" s="3"/>
      <c r="P2" s="3"/>
      <c r="Q2" s="3"/>
    </row>
    <row r="3" spans="1:22" s="4" customFormat="1" x14ac:dyDescent="0.2">
      <c r="A3" s="9" t="s">
        <v>41</v>
      </c>
      <c r="B3" s="189" t="s">
        <v>40</v>
      </c>
      <c r="C3" s="189"/>
      <c r="D3" s="189"/>
      <c r="E3" s="190" t="s">
        <v>82</v>
      </c>
      <c r="F3" s="190"/>
      <c r="G3" s="10"/>
      <c r="H3" s="10"/>
      <c r="I3" s="10"/>
      <c r="J3" s="10"/>
      <c r="K3" s="10"/>
      <c r="L3" s="11"/>
      <c r="M3" s="11"/>
      <c r="N3" s="11"/>
      <c r="O3" s="11"/>
      <c r="P3" s="11"/>
      <c r="Q3" s="11"/>
    </row>
    <row r="4" spans="1:22" s="4" customFormat="1" x14ac:dyDescent="0.2">
      <c r="A4" s="9" t="s">
        <v>42</v>
      </c>
      <c r="B4" s="12" t="s">
        <v>37</v>
      </c>
      <c r="C4" s="12" t="s">
        <v>38</v>
      </c>
      <c r="D4" s="12" t="s">
        <v>39</v>
      </c>
      <c r="E4" s="190" t="s">
        <v>81</v>
      </c>
      <c r="F4" s="190"/>
      <c r="G4" s="9"/>
      <c r="H4" s="9" t="s">
        <v>0</v>
      </c>
      <c r="I4" s="9"/>
      <c r="J4" s="9" t="s">
        <v>5</v>
      </c>
      <c r="K4" s="9"/>
      <c r="L4" s="9" t="s">
        <v>52</v>
      </c>
      <c r="M4" s="9" t="s">
        <v>1</v>
      </c>
      <c r="N4" s="9" t="s">
        <v>2</v>
      </c>
      <c r="O4" s="2"/>
      <c r="P4" s="2"/>
      <c r="Q4" s="2"/>
    </row>
    <row r="5" spans="1:22" s="4" customFormat="1" x14ac:dyDescent="0.2">
      <c r="A5" s="13">
        <v>1</v>
      </c>
      <c r="B5" s="13">
        <v>7</v>
      </c>
      <c r="C5" s="13">
        <v>6</v>
      </c>
      <c r="D5" s="14">
        <v>2023</v>
      </c>
      <c r="E5" s="14" t="s">
        <v>77</v>
      </c>
      <c r="F5" s="167">
        <v>33</v>
      </c>
      <c r="G5" s="15" t="s">
        <v>93</v>
      </c>
      <c r="H5" s="15"/>
      <c r="I5" s="15"/>
      <c r="J5" s="168">
        <v>99147000</v>
      </c>
      <c r="K5" s="14" t="s">
        <v>94</v>
      </c>
      <c r="L5" s="16">
        <v>143452</v>
      </c>
      <c r="M5" s="16">
        <f t="shared" ref="M5:M7" si="0">ROUND((L5*19%),0)</f>
        <v>27256</v>
      </c>
      <c r="N5" s="16">
        <f>ROUND((L5+M5),0)</f>
        <v>170708</v>
      </c>
      <c r="O5" s="2"/>
      <c r="P5" s="2"/>
      <c r="Q5" s="2"/>
    </row>
    <row r="6" spans="1:22" s="4" customFormat="1" x14ac:dyDescent="0.2">
      <c r="A6" s="13">
        <v>2</v>
      </c>
      <c r="B6" s="13">
        <v>7</v>
      </c>
      <c r="C6" s="13">
        <v>6</v>
      </c>
      <c r="D6" s="14">
        <v>2023</v>
      </c>
      <c r="E6" s="14" t="s">
        <v>77</v>
      </c>
      <c r="F6" s="167">
        <v>34</v>
      </c>
      <c r="G6" s="15" t="s">
        <v>96</v>
      </c>
      <c r="H6" s="15"/>
      <c r="I6" s="15"/>
      <c r="J6" s="168">
        <v>76743492</v>
      </c>
      <c r="K6" s="14">
        <v>8</v>
      </c>
      <c r="L6" s="16">
        <v>52511</v>
      </c>
      <c r="M6" s="16">
        <f t="shared" si="0"/>
        <v>9977</v>
      </c>
      <c r="N6" s="16">
        <f t="shared" ref="N6:N7" si="1">ROUND((L6+M6),0)</f>
        <v>62488</v>
      </c>
      <c r="O6" s="2"/>
      <c r="P6" s="2"/>
      <c r="Q6" s="2"/>
    </row>
    <row r="7" spans="1:22" s="4" customFormat="1" x14ac:dyDescent="0.2">
      <c r="A7" s="13">
        <v>3</v>
      </c>
      <c r="B7" s="13">
        <v>23</v>
      </c>
      <c r="C7" s="13">
        <v>6</v>
      </c>
      <c r="D7" s="14">
        <v>2023</v>
      </c>
      <c r="E7" s="14" t="s">
        <v>77</v>
      </c>
      <c r="F7" s="167">
        <v>35</v>
      </c>
      <c r="G7" s="15" t="s">
        <v>96</v>
      </c>
      <c r="H7" s="15"/>
      <c r="I7" s="15"/>
      <c r="J7" s="168">
        <v>76743492</v>
      </c>
      <c r="K7" s="14">
        <v>8</v>
      </c>
      <c r="L7" s="16">
        <v>142840</v>
      </c>
      <c r="M7" s="16">
        <f t="shared" si="0"/>
        <v>27140</v>
      </c>
      <c r="N7" s="16">
        <f t="shared" si="1"/>
        <v>169980</v>
      </c>
      <c r="O7" s="2"/>
      <c r="P7" s="2"/>
      <c r="Q7" s="2"/>
      <c r="R7" s="161"/>
      <c r="S7" s="162"/>
      <c r="T7" s="162"/>
      <c r="U7" s="162"/>
      <c r="V7" s="8"/>
    </row>
    <row r="8" spans="1:22" s="4" customFormat="1" x14ac:dyDescent="0.2">
      <c r="A8" s="1" t="s">
        <v>51</v>
      </c>
      <c r="B8" s="17"/>
      <c r="C8" s="17"/>
      <c r="D8" s="18"/>
      <c r="E8" s="18"/>
      <c r="F8" s="19"/>
      <c r="G8" s="20"/>
      <c r="H8" s="20"/>
      <c r="I8" s="20"/>
      <c r="J8" s="18"/>
      <c r="K8" s="18"/>
      <c r="L8" s="21">
        <f>SUM(L5:L7)</f>
        <v>338803</v>
      </c>
      <c r="M8" s="21">
        <f>SUM(M5:M7)</f>
        <v>64373</v>
      </c>
      <c r="N8" s="21">
        <f>SUM(N5:N7)</f>
        <v>403176</v>
      </c>
      <c r="O8" s="2"/>
      <c r="P8" s="2"/>
    </row>
    <row r="9" spans="1:22" s="4" customFormat="1" x14ac:dyDescent="0.2">
      <c r="A9" s="22">
        <v>1</v>
      </c>
      <c r="B9" s="22"/>
      <c r="C9" s="22">
        <v>6</v>
      </c>
      <c r="D9" s="23">
        <v>2023</v>
      </c>
      <c r="E9" s="23" t="s">
        <v>78</v>
      </c>
      <c r="F9" s="22"/>
      <c r="G9" s="24"/>
      <c r="H9" s="24"/>
      <c r="I9" s="24"/>
      <c r="J9" s="169"/>
      <c r="K9" s="23"/>
      <c r="L9" s="170"/>
      <c r="M9" s="25">
        <f t="shared" ref="M9:M10" si="2">ROUND((L9*19%),0)</f>
        <v>0</v>
      </c>
      <c r="N9" s="25">
        <f>ROUND((L9+M9),0)</f>
        <v>0</v>
      </c>
      <c r="O9" s="2"/>
      <c r="P9" s="2"/>
      <c r="Q9" s="2"/>
    </row>
    <row r="10" spans="1:22" s="4" customFormat="1" x14ac:dyDescent="0.2">
      <c r="A10" s="22">
        <v>2</v>
      </c>
      <c r="B10" s="22"/>
      <c r="C10" s="22">
        <v>6</v>
      </c>
      <c r="D10" s="23">
        <v>2023</v>
      </c>
      <c r="E10" s="23" t="s">
        <v>78</v>
      </c>
      <c r="F10" s="22"/>
      <c r="G10" s="24"/>
      <c r="H10" s="24"/>
      <c r="I10" s="24"/>
      <c r="J10" s="169"/>
      <c r="K10" s="23"/>
      <c r="L10" s="170"/>
      <c r="M10" s="25">
        <f t="shared" si="2"/>
        <v>0</v>
      </c>
      <c r="N10" s="25">
        <f t="shared" ref="N10" si="3">ROUND((L10+M10),0)</f>
        <v>0</v>
      </c>
      <c r="O10" s="2"/>
      <c r="P10" s="2"/>
      <c r="Q10" s="2"/>
    </row>
    <row r="11" spans="1:22" s="4" customFormat="1" x14ac:dyDescent="0.2">
      <c r="A11" s="26" t="s">
        <v>50</v>
      </c>
      <c r="B11" s="27"/>
      <c r="C11" s="27"/>
      <c r="D11" s="28"/>
      <c r="E11" s="28"/>
      <c r="F11" s="29"/>
      <c r="G11" s="30"/>
      <c r="H11" s="30"/>
      <c r="I11" s="30"/>
      <c r="J11" s="28"/>
      <c r="K11" s="28"/>
      <c r="L11" s="31">
        <f>SUM(L9:L10)</f>
        <v>0</v>
      </c>
      <c r="M11" s="31">
        <f>SUM(M9:M10)</f>
        <v>0</v>
      </c>
      <c r="N11" s="31">
        <f>SUM(N9:N10)</f>
        <v>0</v>
      </c>
      <c r="O11" s="30"/>
      <c r="P11" s="30"/>
      <c r="Q11" s="2"/>
      <c r="R11" s="2"/>
      <c r="S11" s="2"/>
    </row>
    <row r="12" spans="1:22" s="4" customFormat="1" x14ac:dyDescent="0.2">
      <c r="A12" s="32">
        <v>1</v>
      </c>
      <c r="B12" s="32"/>
      <c r="C12" s="32">
        <v>6</v>
      </c>
      <c r="D12" s="33">
        <v>2023</v>
      </c>
      <c r="E12" s="33" t="s">
        <v>79</v>
      </c>
      <c r="F12" s="34"/>
      <c r="G12" s="35"/>
      <c r="H12" s="35"/>
      <c r="I12" s="35"/>
      <c r="J12" s="171"/>
      <c r="K12" s="33"/>
      <c r="L12" s="36"/>
      <c r="M12" s="36">
        <f t="shared" ref="M12:M13" si="4">ROUND((L12*19%),0)</f>
        <v>0</v>
      </c>
      <c r="N12" s="36">
        <f t="shared" ref="N12:N13" si="5">SUM(L12:M12)</f>
        <v>0</v>
      </c>
      <c r="O12" s="30"/>
      <c r="P12" s="30"/>
      <c r="R12" s="2"/>
    </row>
    <row r="13" spans="1:22" s="4" customFormat="1" x14ac:dyDescent="0.2">
      <c r="A13" s="32">
        <v>2</v>
      </c>
      <c r="B13" s="32"/>
      <c r="C13" s="32">
        <v>6</v>
      </c>
      <c r="D13" s="33">
        <v>2023</v>
      </c>
      <c r="E13" s="33" t="s">
        <v>79</v>
      </c>
      <c r="F13" s="34"/>
      <c r="G13" s="35"/>
      <c r="H13" s="35"/>
      <c r="I13" s="35"/>
      <c r="J13" s="33"/>
      <c r="K13" s="33"/>
      <c r="L13" s="36"/>
      <c r="M13" s="36">
        <f t="shared" si="4"/>
        <v>0</v>
      </c>
      <c r="N13" s="36">
        <f t="shared" si="5"/>
        <v>0</v>
      </c>
      <c r="O13" s="30"/>
      <c r="P13" s="30"/>
      <c r="Q13" s="2"/>
    </row>
    <row r="14" spans="1:22" s="4" customFormat="1" x14ac:dyDescent="0.2">
      <c r="A14" s="37" t="s">
        <v>65</v>
      </c>
      <c r="B14" s="38"/>
      <c r="C14" s="38"/>
      <c r="D14" s="39"/>
      <c r="E14" s="39"/>
      <c r="F14" s="40"/>
      <c r="G14" s="41"/>
      <c r="H14" s="41"/>
      <c r="I14" s="41"/>
      <c r="J14" s="39"/>
      <c r="K14" s="39"/>
      <c r="L14" s="42">
        <f>SUM(L12:L13)</f>
        <v>0</v>
      </c>
      <c r="M14" s="42">
        <f t="shared" ref="M14:N14" si="6">SUM(M12:M13)</f>
        <v>0</v>
      </c>
      <c r="N14" s="42">
        <f t="shared" si="6"/>
        <v>0</v>
      </c>
      <c r="O14" s="30"/>
      <c r="P14" s="30"/>
      <c r="Q14" s="2"/>
    </row>
    <row r="15" spans="1:22" s="4" customFormat="1" x14ac:dyDescent="0.2">
      <c r="A15" s="43" t="s">
        <v>16</v>
      </c>
      <c r="B15" s="44"/>
      <c r="C15" s="44"/>
      <c r="D15" s="44"/>
      <c r="E15" s="44"/>
      <c r="F15" s="45"/>
      <c r="G15" s="45"/>
      <c r="H15" s="45"/>
      <c r="I15" s="45"/>
      <c r="J15" s="46"/>
      <c r="K15" s="46"/>
      <c r="L15" s="47">
        <f>+L8+L11+L14</f>
        <v>338803</v>
      </c>
      <c r="M15" s="47">
        <f>+M8+M11+M14</f>
        <v>64373</v>
      </c>
      <c r="N15" s="47">
        <f>+N8+N11+N14</f>
        <v>403176</v>
      </c>
      <c r="O15" s="2"/>
      <c r="P15" s="2"/>
      <c r="Q15" s="2"/>
      <c r="S15" s="48"/>
      <c r="T15" s="49"/>
      <c r="U15" s="50"/>
    </row>
    <row r="16" spans="1:22" x14ac:dyDescent="0.2">
      <c r="S16" s="48"/>
      <c r="T16" s="49"/>
      <c r="U16" s="50"/>
    </row>
    <row r="17" spans="1:37" s="4" customFormat="1" x14ac:dyDescent="0.2">
      <c r="A17" s="51" t="s">
        <v>6</v>
      </c>
      <c r="B17" s="52"/>
      <c r="C17" s="52"/>
      <c r="D17" s="52"/>
      <c r="E17" s="53"/>
      <c r="F17" s="53"/>
      <c r="G17" s="2"/>
      <c r="H17" s="2"/>
      <c r="I17" s="2"/>
      <c r="J17" s="8"/>
      <c r="K17" s="8"/>
      <c r="L17" s="54"/>
      <c r="M17" s="3"/>
      <c r="N17" s="3"/>
      <c r="O17" s="3"/>
      <c r="P17" s="3"/>
      <c r="Q17" s="3"/>
      <c r="S17" s="48"/>
      <c r="T17" s="49"/>
      <c r="U17" s="50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x14ac:dyDescent="0.2">
      <c r="A18" s="55" t="s">
        <v>41</v>
      </c>
      <c r="B18" s="56" t="s">
        <v>37</v>
      </c>
      <c r="C18" s="56" t="s">
        <v>38</v>
      </c>
      <c r="D18" s="56" t="s">
        <v>39</v>
      </c>
      <c r="E18" s="191" t="s">
        <v>71</v>
      </c>
      <c r="F18" s="191"/>
      <c r="G18" s="55"/>
      <c r="H18" s="55" t="s">
        <v>4</v>
      </c>
      <c r="I18" s="55"/>
      <c r="J18" s="55" t="s">
        <v>5</v>
      </c>
      <c r="K18" s="55"/>
      <c r="L18" s="55" t="s">
        <v>52</v>
      </c>
      <c r="M18" s="55" t="s">
        <v>35</v>
      </c>
      <c r="N18" s="55" t="s">
        <v>1</v>
      </c>
      <c r="O18" s="55" t="s">
        <v>61</v>
      </c>
      <c r="P18" s="55" t="s">
        <v>2</v>
      </c>
    </row>
    <row r="19" spans="1:37" x14ac:dyDescent="0.2">
      <c r="A19" s="57">
        <v>1</v>
      </c>
      <c r="B19" s="58">
        <v>24</v>
      </c>
      <c r="C19" s="58">
        <v>5</v>
      </c>
      <c r="D19" s="58">
        <v>2023</v>
      </c>
      <c r="E19" s="59" t="s">
        <v>77</v>
      </c>
      <c r="F19" s="59">
        <v>58008</v>
      </c>
      <c r="G19" s="53" t="s">
        <v>109</v>
      </c>
      <c r="H19" s="60"/>
      <c r="I19" s="53"/>
      <c r="J19" s="61">
        <v>77617950</v>
      </c>
      <c r="K19" s="59">
        <v>7</v>
      </c>
      <c r="L19" s="62">
        <v>23970</v>
      </c>
      <c r="M19" s="62">
        <v>0</v>
      </c>
      <c r="N19" s="62">
        <v>4554</v>
      </c>
      <c r="O19" s="62">
        <v>0</v>
      </c>
      <c r="P19" s="62">
        <f>SUM(L19:O19)</f>
        <v>28524</v>
      </c>
      <c r="Q19" s="121"/>
      <c r="R19" s="166"/>
      <c r="S19" s="166"/>
      <c r="T19" s="166"/>
      <c r="U19" s="166"/>
      <c r="V19" s="166"/>
    </row>
    <row r="20" spans="1:37" x14ac:dyDescent="0.2">
      <c r="A20" s="57">
        <v>2</v>
      </c>
      <c r="B20" s="58">
        <v>1</v>
      </c>
      <c r="C20" s="58">
        <v>6</v>
      </c>
      <c r="D20" s="58">
        <v>2023</v>
      </c>
      <c r="E20" s="59" t="s">
        <v>77</v>
      </c>
      <c r="F20" s="59">
        <v>68902353</v>
      </c>
      <c r="G20" s="53" t="s">
        <v>104</v>
      </c>
      <c r="H20" s="60"/>
      <c r="I20" s="53"/>
      <c r="J20" s="61">
        <v>76124890</v>
      </c>
      <c r="K20" s="59">
        <v>1</v>
      </c>
      <c r="L20" s="62">
        <v>76081</v>
      </c>
      <c r="M20" s="62">
        <v>0</v>
      </c>
      <c r="N20" s="62">
        <v>14455</v>
      </c>
      <c r="O20" s="62">
        <v>0</v>
      </c>
      <c r="P20" s="62">
        <f t="shared" ref="P20:P22" si="7">SUM(L20:O20)</f>
        <v>90536</v>
      </c>
      <c r="Q20" s="121"/>
      <c r="R20" s="166"/>
      <c r="S20" s="166"/>
      <c r="T20" s="166"/>
      <c r="U20" s="166"/>
      <c r="V20" s="166"/>
    </row>
    <row r="21" spans="1:37" x14ac:dyDescent="0.2">
      <c r="A21" s="57">
        <v>3</v>
      </c>
      <c r="B21" s="58">
        <v>12</v>
      </c>
      <c r="C21" s="58">
        <v>6</v>
      </c>
      <c r="D21" s="58">
        <v>2023</v>
      </c>
      <c r="E21" s="59" t="s">
        <v>77</v>
      </c>
      <c r="F21" s="59">
        <v>6148308</v>
      </c>
      <c r="G21" s="53" t="s">
        <v>108</v>
      </c>
      <c r="H21" s="60"/>
      <c r="I21" s="53"/>
      <c r="J21" s="61">
        <v>97023000</v>
      </c>
      <c r="K21" s="59">
        <v>9</v>
      </c>
      <c r="L21" s="62">
        <v>10892</v>
      </c>
      <c r="M21" s="62">
        <v>0</v>
      </c>
      <c r="N21" s="62">
        <v>2069</v>
      </c>
      <c r="O21" s="62">
        <v>0</v>
      </c>
      <c r="P21" s="62">
        <f t="shared" si="7"/>
        <v>12961</v>
      </c>
      <c r="U21" s="54"/>
      <c r="V21" s="8"/>
    </row>
    <row r="22" spans="1:37" x14ac:dyDescent="0.2">
      <c r="A22" s="57">
        <v>4</v>
      </c>
      <c r="B22" s="58">
        <v>22</v>
      </c>
      <c r="C22" s="58">
        <v>6</v>
      </c>
      <c r="D22" s="58">
        <v>2023</v>
      </c>
      <c r="E22" s="59" t="s">
        <v>77</v>
      </c>
      <c r="F22" s="59">
        <v>58359</v>
      </c>
      <c r="G22" s="53" t="s">
        <v>109</v>
      </c>
      <c r="H22" s="60"/>
      <c r="I22" s="53"/>
      <c r="J22" s="61">
        <v>77617950</v>
      </c>
      <c r="K22" s="59">
        <v>7</v>
      </c>
      <c r="L22" s="62">
        <v>24060</v>
      </c>
      <c r="M22" s="62">
        <v>0</v>
      </c>
      <c r="N22" s="62">
        <v>4571</v>
      </c>
      <c r="O22" s="62">
        <v>0</v>
      </c>
      <c r="P22" s="62">
        <f t="shared" si="7"/>
        <v>28631</v>
      </c>
      <c r="Q22" s="121"/>
      <c r="R22" s="173"/>
      <c r="U22" s="173"/>
      <c r="W22" s="152"/>
    </row>
    <row r="23" spans="1:37" x14ac:dyDescent="0.2">
      <c r="A23" s="1" t="s">
        <v>49</v>
      </c>
      <c r="B23" s="17"/>
      <c r="C23" s="17"/>
      <c r="D23" s="17"/>
      <c r="E23" s="65"/>
      <c r="F23" s="19"/>
      <c r="G23" s="20"/>
      <c r="H23" s="20"/>
      <c r="I23" s="20"/>
      <c r="J23" s="18"/>
      <c r="K23" s="18"/>
      <c r="L23" s="21">
        <f>SUM(L19:L22)</f>
        <v>135003</v>
      </c>
      <c r="M23" s="21">
        <f>SUM(M19:M22)</f>
        <v>0</v>
      </c>
      <c r="N23" s="21">
        <f>SUM(N19:N22)</f>
        <v>25649</v>
      </c>
      <c r="O23" s="21">
        <f>SUM(O19:O22)</f>
        <v>0</v>
      </c>
      <c r="P23" s="21">
        <f>SUM(P19:P22)</f>
        <v>160652</v>
      </c>
      <c r="R23" s="121"/>
      <c r="S23" s="54"/>
      <c r="U23" s="172"/>
      <c r="V23" s="153"/>
      <c r="W23" s="153"/>
    </row>
    <row r="24" spans="1:37" x14ac:dyDescent="0.2">
      <c r="A24" s="66">
        <v>1</v>
      </c>
      <c r="B24" s="66"/>
      <c r="C24" s="66">
        <v>6</v>
      </c>
      <c r="D24" s="66">
        <v>2023</v>
      </c>
      <c r="E24" s="67" t="s">
        <v>78</v>
      </c>
      <c r="F24" s="68"/>
      <c r="G24" s="53"/>
      <c r="H24" s="60"/>
      <c r="I24" s="53"/>
      <c r="J24" s="61"/>
      <c r="K24" s="59"/>
      <c r="L24" s="73"/>
      <c r="M24" s="74">
        <v>0</v>
      </c>
      <c r="N24" s="74">
        <f t="shared" ref="N24:N25" si="8">ROUND((L24*19%),0)</f>
        <v>0</v>
      </c>
      <c r="O24" s="74">
        <v>0</v>
      </c>
      <c r="P24" s="74">
        <f>SUM(L24:O24)</f>
        <v>0</v>
      </c>
      <c r="R24" s="121"/>
      <c r="S24" s="4"/>
      <c r="U24" s="173"/>
      <c r="V24" s="153"/>
      <c r="W24" s="153"/>
    </row>
    <row r="25" spans="1:37" x14ac:dyDescent="0.2">
      <c r="A25" s="66">
        <v>2</v>
      </c>
      <c r="B25" s="66"/>
      <c r="C25" s="66">
        <v>6</v>
      </c>
      <c r="D25" s="66">
        <v>2023</v>
      </c>
      <c r="E25" s="67" t="s">
        <v>78</v>
      </c>
      <c r="F25" s="68"/>
      <c r="G25" s="69"/>
      <c r="H25" s="70"/>
      <c r="I25" s="69"/>
      <c r="J25" s="71"/>
      <c r="K25" s="72"/>
      <c r="L25" s="74"/>
      <c r="M25" s="74">
        <v>0</v>
      </c>
      <c r="N25" s="74">
        <f t="shared" si="8"/>
        <v>0</v>
      </c>
      <c r="O25" s="74">
        <v>0</v>
      </c>
      <c r="P25" s="74">
        <f>SUM(L25:O25)</f>
        <v>0</v>
      </c>
      <c r="R25" s="121"/>
      <c r="U25" s="173"/>
      <c r="V25" s="153"/>
      <c r="W25" s="153"/>
    </row>
    <row r="26" spans="1:37" x14ac:dyDescent="0.2">
      <c r="A26" s="26" t="s">
        <v>48</v>
      </c>
      <c r="B26" s="27"/>
      <c r="C26" s="27"/>
      <c r="D26" s="27"/>
      <c r="E26" s="75"/>
      <c r="F26" s="29"/>
      <c r="G26" s="30"/>
      <c r="H26" s="30"/>
      <c r="I26" s="30"/>
      <c r="J26" s="28"/>
      <c r="K26" s="28"/>
      <c r="L26" s="31">
        <f>SUM(L24:L25)</f>
        <v>0</v>
      </c>
      <c r="M26" s="31">
        <f>SUM(M24:M25)</f>
        <v>0</v>
      </c>
      <c r="N26" s="31">
        <f>SUM(N24:N25)</f>
        <v>0</v>
      </c>
      <c r="O26" s="31">
        <f>SUM(O24:O25)</f>
        <v>0</v>
      </c>
      <c r="P26" s="31">
        <f>SUM(P24:P25)</f>
        <v>0</v>
      </c>
      <c r="R26" s="121"/>
      <c r="U26" s="173"/>
      <c r="V26" s="153"/>
      <c r="W26" s="153"/>
    </row>
    <row r="27" spans="1:37" x14ac:dyDescent="0.2">
      <c r="A27" s="76" t="s">
        <v>17</v>
      </c>
      <c r="B27" s="56"/>
      <c r="C27" s="56"/>
      <c r="D27" s="56"/>
      <c r="E27" s="56"/>
      <c r="F27" s="77"/>
      <c r="G27" s="77"/>
      <c r="H27" s="77"/>
      <c r="I27" s="77"/>
      <c r="J27" s="78"/>
      <c r="K27" s="78"/>
      <c r="L27" s="79">
        <f>+L23+L26</f>
        <v>135003</v>
      </c>
      <c r="M27" s="79">
        <f>+M23-M26</f>
        <v>0</v>
      </c>
      <c r="N27" s="79">
        <f>N23+N26</f>
        <v>25649</v>
      </c>
      <c r="O27" s="79">
        <f>+O23-O26</f>
        <v>0</v>
      </c>
      <c r="P27" s="79">
        <f>+P23+P26</f>
        <v>160652</v>
      </c>
      <c r="R27" s="121"/>
      <c r="S27" s="4"/>
      <c r="U27" s="173"/>
      <c r="V27" s="153"/>
      <c r="W27" s="153"/>
    </row>
    <row r="28" spans="1:37" x14ac:dyDescent="0.2">
      <c r="R28" s="121"/>
      <c r="S28" s="121"/>
      <c r="T28" s="121"/>
      <c r="U28" s="173"/>
      <c r="V28" s="153"/>
      <c r="W28" s="154"/>
    </row>
    <row r="29" spans="1:37" x14ac:dyDescent="0.2">
      <c r="A29" s="125" t="s">
        <v>7</v>
      </c>
      <c r="B29" s="126"/>
      <c r="C29" s="126"/>
      <c r="D29" s="126"/>
      <c r="E29" s="126"/>
      <c r="F29" s="127"/>
      <c r="J29" s="8"/>
      <c r="K29" s="8"/>
      <c r="L29" s="3"/>
      <c r="M29" s="3"/>
      <c r="N29" s="3"/>
      <c r="O29" s="3"/>
      <c r="P29" s="3"/>
      <c r="Q29" s="3"/>
      <c r="R29" s="2"/>
      <c r="U29" s="4"/>
      <c r="V29" s="156"/>
      <c r="W29" s="155"/>
    </row>
    <row r="30" spans="1:37" x14ac:dyDescent="0.2">
      <c r="A30" s="128" t="s">
        <v>41</v>
      </c>
      <c r="B30" s="129" t="s">
        <v>70</v>
      </c>
      <c r="C30" s="129" t="s">
        <v>38</v>
      </c>
      <c r="D30" s="129" t="s">
        <v>39</v>
      </c>
      <c r="E30" s="192" t="s">
        <v>43</v>
      </c>
      <c r="F30" s="192"/>
      <c r="G30" s="128"/>
      <c r="H30" s="128" t="s">
        <v>8</v>
      </c>
      <c r="I30" s="128"/>
      <c r="J30" s="128" t="s">
        <v>5</v>
      </c>
      <c r="K30" s="128"/>
      <c r="L30" s="128" t="s">
        <v>9</v>
      </c>
      <c r="M30" s="128" t="s">
        <v>97</v>
      </c>
      <c r="N30" s="128" t="s">
        <v>10</v>
      </c>
      <c r="R30" s="2"/>
      <c r="U30" s="4"/>
      <c r="V30" s="156"/>
      <c r="W30" s="156"/>
    </row>
    <row r="31" spans="1:37" x14ac:dyDescent="0.2">
      <c r="A31" s="130">
        <v>1</v>
      </c>
      <c r="B31" s="131"/>
      <c r="C31" s="131">
        <v>6</v>
      </c>
      <c r="D31" s="131">
        <v>2023</v>
      </c>
      <c r="E31" s="132" t="s">
        <v>80</v>
      </c>
      <c r="F31" s="133"/>
      <c r="G31" s="137"/>
      <c r="H31" s="138"/>
      <c r="I31" s="138"/>
      <c r="J31" s="139"/>
      <c r="K31" s="132"/>
      <c r="L31" s="140"/>
      <c r="M31" s="141">
        <f>+L31*0.13</f>
        <v>0</v>
      </c>
      <c r="N31" s="141">
        <f>+L31-M31</f>
        <v>0</v>
      </c>
      <c r="R31" s="2"/>
      <c r="S31" s="4"/>
      <c r="U31" s="4"/>
      <c r="V31" s="156"/>
      <c r="W31" s="155"/>
    </row>
    <row r="32" spans="1:37" x14ac:dyDescent="0.2">
      <c r="A32" s="130">
        <v>2</v>
      </c>
      <c r="B32" s="131"/>
      <c r="C32" s="131">
        <v>6</v>
      </c>
      <c r="D32" s="131">
        <v>2023</v>
      </c>
      <c r="E32" s="132" t="s">
        <v>80</v>
      </c>
      <c r="F32" s="133"/>
      <c r="G32" s="137"/>
      <c r="H32" s="138"/>
      <c r="I32" s="138"/>
      <c r="J32" s="139"/>
      <c r="K32" s="132"/>
      <c r="L32" s="140"/>
      <c r="M32" s="141">
        <f>+L32*0.13</f>
        <v>0</v>
      </c>
      <c r="N32" s="141">
        <f t="shared" ref="N32" si="9">+L32-M32</f>
        <v>0</v>
      </c>
      <c r="R32" s="121"/>
      <c r="S32" s="4"/>
      <c r="U32" s="173"/>
      <c r="V32" s="153"/>
      <c r="W32" s="154"/>
    </row>
    <row r="33" spans="1:28" x14ac:dyDescent="0.2">
      <c r="A33" s="134" t="s">
        <v>18</v>
      </c>
      <c r="B33" s="135"/>
      <c r="C33" s="135"/>
      <c r="D33" s="135"/>
      <c r="E33" s="129"/>
      <c r="F33" s="136"/>
      <c r="G33" s="136"/>
      <c r="H33" s="136"/>
      <c r="I33" s="136"/>
      <c r="J33" s="142"/>
      <c r="K33" s="142"/>
      <c r="L33" s="143">
        <f>SUM(L31:L32)</f>
        <v>0</v>
      </c>
      <c r="M33" s="143">
        <f>SUM(M31:M32)</f>
        <v>0</v>
      </c>
      <c r="N33" s="143">
        <f>SUM(N31:N32)</f>
        <v>0</v>
      </c>
      <c r="R33" s="2"/>
      <c r="U33" s="4"/>
      <c r="V33" s="156"/>
      <c r="W33" s="155"/>
    </row>
    <row r="35" spans="1:28" x14ac:dyDescent="0.2">
      <c r="A35" s="193" t="s">
        <v>111</v>
      </c>
      <c r="B35" s="193"/>
      <c r="C35" s="193"/>
      <c r="D35" s="193"/>
      <c r="E35" s="193"/>
      <c r="F35" s="193"/>
      <c r="G35" s="183" t="s">
        <v>55</v>
      </c>
      <c r="H35" s="183"/>
      <c r="I35" s="183"/>
      <c r="J35" s="183"/>
      <c r="K35" s="183"/>
      <c r="L35" s="184" t="s">
        <v>83</v>
      </c>
      <c r="M35" s="184"/>
      <c r="N35" s="184"/>
      <c r="O35" s="184"/>
      <c r="P35" s="184"/>
      <c r="Q35" s="185" t="s">
        <v>75</v>
      </c>
      <c r="R35" s="185"/>
      <c r="S35" s="186" t="s">
        <v>73</v>
      </c>
      <c r="T35" s="186"/>
      <c r="U35" s="186"/>
      <c r="V35" s="187" t="s">
        <v>12</v>
      </c>
      <c r="W35" s="187"/>
      <c r="X35" s="188" t="s">
        <v>69</v>
      </c>
      <c r="Y35" s="188"/>
      <c r="Z35" s="188"/>
      <c r="AA35" s="188"/>
      <c r="AB35" s="188"/>
    </row>
    <row r="36" spans="1:28" x14ac:dyDescent="0.2">
      <c r="A36" s="83" t="s">
        <v>11</v>
      </c>
      <c r="B36" s="84" t="s">
        <v>47</v>
      </c>
      <c r="C36" s="80"/>
      <c r="D36" s="80"/>
      <c r="E36" s="80"/>
      <c r="F36" s="81">
        <f>+L15</f>
        <v>338803</v>
      </c>
      <c r="G36" s="82" t="s">
        <v>53</v>
      </c>
      <c r="H36" s="85" t="s">
        <v>52</v>
      </c>
      <c r="I36" s="85" t="s">
        <v>1</v>
      </c>
      <c r="J36" s="85" t="s">
        <v>2</v>
      </c>
      <c r="K36" s="86"/>
      <c r="L36" s="88" t="s">
        <v>52</v>
      </c>
      <c r="M36" s="89" t="s">
        <v>35</v>
      </c>
      <c r="N36" s="88" t="s">
        <v>1</v>
      </c>
      <c r="O36" s="89" t="s">
        <v>67</v>
      </c>
      <c r="P36" s="89" t="s">
        <v>2</v>
      </c>
      <c r="Q36" s="157" t="s">
        <v>76</v>
      </c>
      <c r="R36" s="157" t="s">
        <v>60</v>
      </c>
      <c r="S36" s="90" t="s">
        <v>9</v>
      </c>
      <c r="T36" s="91" t="s">
        <v>74</v>
      </c>
      <c r="U36" s="92" t="s">
        <v>10</v>
      </c>
      <c r="V36" s="87" t="s">
        <v>56</v>
      </c>
      <c r="W36" s="87" t="s">
        <v>57</v>
      </c>
      <c r="X36" s="122" t="s">
        <v>58</v>
      </c>
      <c r="Y36" s="122" t="s">
        <v>68</v>
      </c>
      <c r="Z36" s="122" t="s">
        <v>62</v>
      </c>
      <c r="AA36" s="122" t="s">
        <v>72</v>
      </c>
      <c r="AB36" s="122" t="s">
        <v>59</v>
      </c>
    </row>
    <row r="37" spans="1:28" x14ac:dyDescent="0.2">
      <c r="A37" s="83" t="s">
        <v>11</v>
      </c>
      <c r="B37" s="84" t="s">
        <v>13</v>
      </c>
      <c r="C37" s="84"/>
      <c r="D37" s="84"/>
      <c r="E37" s="84"/>
      <c r="F37" s="81">
        <f>+M8</f>
        <v>64373</v>
      </c>
      <c r="G37" s="86" t="s">
        <v>22</v>
      </c>
      <c r="H37" s="93">
        <v>362422</v>
      </c>
      <c r="I37" s="93">
        <f t="shared" ref="I37:I48" si="10">ROUND((H37*0.19),0)</f>
        <v>68860</v>
      </c>
      <c r="J37" s="93">
        <f>SUM(H37:I37)</f>
        <v>431282</v>
      </c>
      <c r="K37" s="86"/>
      <c r="L37" s="96">
        <v>206080</v>
      </c>
      <c r="M37" s="96">
        <v>0</v>
      </c>
      <c r="N37" s="96">
        <v>39155</v>
      </c>
      <c r="O37" s="97">
        <v>0</v>
      </c>
      <c r="P37" s="97">
        <f>SUM(L37:O37)</f>
        <v>245235</v>
      </c>
      <c r="Q37" s="158">
        <v>0</v>
      </c>
      <c r="R37" s="158">
        <v>0</v>
      </c>
      <c r="S37" s="98">
        <v>0</v>
      </c>
      <c r="T37" s="98">
        <f>+S37*0.13</f>
        <v>0</v>
      </c>
      <c r="U37" s="98">
        <f t="shared" ref="U37:U48" si="11">+S37-T37</f>
        <v>0</v>
      </c>
      <c r="V37" s="94">
        <v>0.1</v>
      </c>
      <c r="W37" s="95">
        <f t="shared" ref="W37:W48" si="12">ROUND((H37*V37),2)</f>
        <v>36242.199999999997</v>
      </c>
      <c r="X37" s="123">
        <v>0</v>
      </c>
      <c r="Y37" s="123">
        <v>0</v>
      </c>
      <c r="Z37" s="123">
        <v>48000</v>
      </c>
      <c r="AA37" s="123">
        <v>0</v>
      </c>
      <c r="AB37" s="123">
        <v>30084</v>
      </c>
    </row>
    <row r="38" spans="1:28" x14ac:dyDescent="0.2">
      <c r="A38" s="83" t="s">
        <v>11</v>
      </c>
      <c r="B38" s="99" t="s">
        <v>45</v>
      </c>
      <c r="C38" s="84"/>
      <c r="D38" s="84"/>
      <c r="E38" s="84"/>
      <c r="F38" s="100">
        <f>+M11</f>
        <v>0</v>
      </c>
      <c r="G38" s="86" t="s">
        <v>23</v>
      </c>
      <c r="H38" s="93">
        <v>727324</v>
      </c>
      <c r="I38" s="93">
        <v>138191</v>
      </c>
      <c r="J38" s="93">
        <f t="shared" ref="J38:J48" si="13">SUM(H38:I38)</f>
        <v>865515</v>
      </c>
      <c r="K38" s="86"/>
      <c r="L38" s="96">
        <v>24120</v>
      </c>
      <c r="M38" s="96">
        <v>0</v>
      </c>
      <c r="N38" s="96">
        <v>4583</v>
      </c>
      <c r="O38" s="97">
        <v>0</v>
      </c>
      <c r="P38" s="97">
        <f t="shared" ref="P38:P48" si="14">SUM(L38:O38)</f>
        <v>28703</v>
      </c>
      <c r="Q38" s="158">
        <v>0</v>
      </c>
      <c r="R38" s="158">
        <v>0</v>
      </c>
      <c r="S38" s="98">
        <v>0</v>
      </c>
      <c r="T38" s="98">
        <f t="shared" ref="T38:T48" si="15">+S38*0.13</f>
        <v>0</v>
      </c>
      <c r="U38" s="98">
        <f t="shared" si="11"/>
        <v>0</v>
      </c>
      <c r="V38" s="94">
        <v>0.1</v>
      </c>
      <c r="W38" s="95">
        <f t="shared" si="12"/>
        <v>72732.399999999994</v>
      </c>
      <c r="X38" s="123">
        <v>0</v>
      </c>
      <c r="Y38" s="123">
        <v>0</v>
      </c>
      <c r="Z38" s="123">
        <v>48000</v>
      </c>
      <c r="AA38" s="123">
        <v>0</v>
      </c>
      <c r="AB38" s="123">
        <v>0</v>
      </c>
    </row>
    <row r="39" spans="1:28" s="4" customFormat="1" x14ac:dyDescent="0.2">
      <c r="A39" s="83" t="s">
        <v>11</v>
      </c>
      <c r="B39" s="101" t="s">
        <v>64</v>
      </c>
      <c r="C39" s="101"/>
      <c r="D39" s="84"/>
      <c r="E39" s="84"/>
      <c r="F39" s="102">
        <v>0</v>
      </c>
      <c r="G39" s="86" t="s">
        <v>24</v>
      </c>
      <c r="H39" s="93">
        <v>3119121</v>
      </c>
      <c r="I39" s="93">
        <f t="shared" si="10"/>
        <v>592633</v>
      </c>
      <c r="J39" s="93">
        <f t="shared" si="13"/>
        <v>3711754</v>
      </c>
      <c r="K39" s="86"/>
      <c r="L39" s="96">
        <v>25050</v>
      </c>
      <c r="M39" s="96">
        <v>0</v>
      </c>
      <c r="N39" s="96">
        <v>4760</v>
      </c>
      <c r="O39" s="97">
        <v>0</v>
      </c>
      <c r="P39" s="97">
        <f t="shared" si="14"/>
        <v>29810</v>
      </c>
      <c r="Q39" s="158">
        <v>0</v>
      </c>
      <c r="R39" s="158">
        <v>0</v>
      </c>
      <c r="S39" s="98">
        <v>0</v>
      </c>
      <c r="T39" s="98">
        <f t="shared" si="15"/>
        <v>0</v>
      </c>
      <c r="U39" s="98">
        <f t="shared" si="11"/>
        <v>0</v>
      </c>
      <c r="V39" s="94">
        <v>0.1</v>
      </c>
      <c r="W39" s="95">
        <f t="shared" si="12"/>
        <v>311912.09999999998</v>
      </c>
      <c r="X39" s="123">
        <v>0</v>
      </c>
      <c r="Y39" s="123">
        <v>0</v>
      </c>
      <c r="Z39" s="123">
        <v>48000</v>
      </c>
      <c r="AA39" s="123">
        <v>0</v>
      </c>
      <c r="AB39" s="123">
        <v>0</v>
      </c>
    </row>
    <row r="40" spans="1:28" s="4" customFormat="1" x14ac:dyDescent="0.2">
      <c r="A40" s="83" t="s">
        <v>11</v>
      </c>
      <c r="B40" s="84" t="s">
        <v>63</v>
      </c>
      <c r="C40" s="84"/>
      <c r="D40" s="84"/>
      <c r="E40" s="84"/>
      <c r="F40" s="103">
        <f>SUM(F37:F38)</f>
        <v>64373</v>
      </c>
      <c r="G40" s="86" t="s">
        <v>25</v>
      </c>
      <c r="H40" s="93">
        <v>548065</v>
      </c>
      <c r="I40" s="93">
        <f t="shared" si="10"/>
        <v>104132</v>
      </c>
      <c r="J40" s="93">
        <f t="shared" si="13"/>
        <v>652197</v>
      </c>
      <c r="K40" s="93"/>
      <c r="L40" s="96">
        <v>93368</v>
      </c>
      <c r="M40" s="96">
        <v>0</v>
      </c>
      <c r="N40" s="96">
        <v>18310</v>
      </c>
      <c r="O40" s="97">
        <v>0</v>
      </c>
      <c r="P40" s="97">
        <f t="shared" si="14"/>
        <v>111678</v>
      </c>
      <c r="Q40" s="158">
        <v>0</v>
      </c>
      <c r="R40" s="158">
        <v>0</v>
      </c>
      <c r="S40" s="98">
        <v>0</v>
      </c>
      <c r="T40" s="98">
        <f t="shared" si="15"/>
        <v>0</v>
      </c>
      <c r="U40" s="98">
        <f t="shared" si="11"/>
        <v>0</v>
      </c>
      <c r="V40" s="94">
        <v>0.1</v>
      </c>
      <c r="W40" s="95">
        <f t="shared" si="12"/>
        <v>54806.5</v>
      </c>
      <c r="X40" s="123">
        <v>0</v>
      </c>
      <c r="Y40" s="123">
        <v>0</v>
      </c>
      <c r="Z40" s="123">
        <v>48000</v>
      </c>
      <c r="AA40" s="123">
        <v>0</v>
      </c>
      <c r="AB40" s="123">
        <v>0</v>
      </c>
    </row>
    <row r="41" spans="1:28" s="4" customFormat="1" x14ac:dyDescent="0.2">
      <c r="A41" s="83" t="s">
        <v>11</v>
      </c>
      <c r="B41" s="99" t="s">
        <v>14</v>
      </c>
      <c r="C41" s="84"/>
      <c r="D41" s="84"/>
      <c r="E41" s="84"/>
      <c r="F41" s="100">
        <f>-N23</f>
        <v>-25649</v>
      </c>
      <c r="G41" s="86" t="s">
        <v>26</v>
      </c>
      <c r="H41" s="93">
        <v>238087</v>
      </c>
      <c r="I41" s="93">
        <f t="shared" si="10"/>
        <v>45237</v>
      </c>
      <c r="J41" s="93">
        <f t="shared" si="13"/>
        <v>283324</v>
      </c>
      <c r="K41" s="93"/>
      <c r="L41" s="96">
        <v>111383</v>
      </c>
      <c r="M41" s="96">
        <v>0</v>
      </c>
      <c r="N41" s="96">
        <v>21163</v>
      </c>
      <c r="O41" s="97">
        <v>0</v>
      </c>
      <c r="P41" s="97">
        <f t="shared" si="14"/>
        <v>132546</v>
      </c>
      <c r="Q41" s="158">
        <v>0</v>
      </c>
      <c r="R41" s="158">
        <v>0</v>
      </c>
      <c r="S41" s="98">
        <v>0</v>
      </c>
      <c r="T41" s="98">
        <f t="shared" si="15"/>
        <v>0</v>
      </c>
      <c r="U41" s="98">
        <f t="shared" si="11"/>
        <v>0</v>
      </c>
      <c r="V41" s="94">
        <v>0.1</v>
      </c>
      <c r="W41" s="95">
        <f t="shared" si="12"/>
        <v>23808.7</v>
      </c>
      <c r="X41" s="123">
        <v>0</v>
      </c>
      <c r="Y41" s="123">
        <v>0</v>
      </c>
      <c r="Z41" s="123">
        <v>48000</v>
      </c>
      <c r="AA41" s="123">
        <v>0</v>
      </c>
      <c r="AB41" s="123">
        <v>0</v>
      </c>
    </row>
    <row r="42" spans="1:28" s="4" customFormat="1" x14ac:dyDescent="0.2">
      <c r="A42" s="83" t="s">
        <v>11</v>
      </c>
      <c r="B42" s="84" t="s">
        <v>46</v>
      </c>
      <c r="C42" s="84"/>
      <c r="D42" s="84"/>
      <c r="E42" s="84"/>
      <c r="F42" s="81">
        <f>-N26</f>
        <v>0</v>
      </c>
      <c r="G42" s="86" t="s">
        <v>27</v>
      </c>
      <c r="H42" s="93">
        <v>338803</v>
      </c>
      <c r="I42" s="93">
        <f t="shared" si="10"/>
        <v>64373</v>
      </c>
      <c r="J42" s="93">
        <f t="shared" si="13"/>
        <v>403176</v>
      </c>
      <c r="K42" s="93"/>
      <c r="L42" s="96">
        <v>111033</v>
      </c>
      <c r="M42" s="96">
        <v>0</v>
      </c>
      <c r="N42" s="96">
        <v>21095</v>
      </c>
      <c r="O42" s="97">
        <v>0</v>
      </c>
      <c r="P42" s="97">
        <f t="shared" si="14"/>
        <v>132128</v>
      </c>
      <c r="Q42" s="158">
        <v>0</v>
      </c>
      <c r="R42" s="158">
        <v>0</v>
      </c>
      <c r="S42" s="98">
        <v>0</v>
      </c>
      <c r="T42" s="98">
        <f t="shared" si="15"/>
        <v>0</v>
      </c>
      <c r="U42" s="98">
        <f t="shared" si="11"/>
        <v>0</v>
      </c>
      <c r="V42" s="94">
        <v>0.15</v>
      </c>
      <c r="W42" s="95">
        <f t="shared" si="12"/>
        <v>50820.45</v>
      </c>
      <c r="X42" s="123">
        <v>0</v>
      </c>
      <c r="Y42" s="123">
        <v>0</v>
      </c>
      <c r="Z42" s="123">
        <v>48000</v>
      </c>
      <c r="AA42" s="123">
        <v>0</v>
      </c>
      <c r="AB42" s="123">
        <v>0</v>
      </c>
    </row>
    <row r="43" spans="1:28" s="4" customFormat="1" x14ac:dyDescent="0.2">
      <c r="A43" s="83" t="s">
        <v>11</v>
      </c>
      <c r="B43" s="84" t="s">
        <v>15</v>
      </c>
      <c r="C43" s="84"/>
      <c r="D43" s="84"/>
      <c r="E43" s="84"/>
      <c r="F43" s="81">
        <f>SUM(F40:F42)</f>
        <v>38724</v>
      </c>
      <c r="G43" s="86" t="s">
        <v>28</v>
      </c>
      <c r="H43" s="93">
        <v>0</v>
      </c>
      <c r="I43" s="93">
        <f t="shared" si="10"/>
        <v>0</v>
      </c>
      <c r="J43" s="93">
        <f t="shared" si="13"/>
        <v>0</v>
      </c>
      <c r="K43" s="93"/>
      <c r="L43" s="96">
        <v>0</v>
      </c>
      <c r="M43" s="96">
        <v>0</v>
      </c>
      <c r="N43" s="96">
        <v>0</v>
      </c>
      <c r="O43" s="97">
        <v>0</v>
      </c>
      <c r="P43" s="97">
        <f t="shared" si="14"/>
        <v>0</v>
      </c>
      <c r="Q43" s="158">
        <v>0</v>
      </c>
      <c r="R43" s="158">
        <v>0</v>
      </c>
      <c r="S43" s="98">
        <v>0</v>
      </c>
      <c r="T43" s="98">
        <f t="shared" si="15"/>
        <v>0</v>
      </c>
      <c r="U43" s="98">
        <f t="shared" si="11"/>
        <v>0</v>
      </c>
      <c r="V43" s="94"/>
      <c r="W43" s="95">
        <f t="shared" si="12"/>
        <v>0</v>
      </c>
      <c r="X43" s="123">
        <v>0</v>
      </c>
      <c r="Y43" s="123">
        <v>0</v>
      </c>
      <c r="Z43" s="123">
        <v>0</v>
      </c>
      <c r="AA43" s="123">
        <v>0</v>
      </c>
      <c r="AB43" s="123">
        <v>0</v>
      </c>
    </row>
    <row r="44" spans="1:28" s="4" customFormat="1" x14ac:dyDescent="0.2">
      <c r="A44" s="83" t="s">
        <v>11</v>
      </c>
      <c r="B44" s="84" t="s">
        <v>34</v>
      </c>
      <c r="C44" s="84"/>
      <c r="D44" s="84"/>
      <c r="E44" s="84"/>
      <c r="F44" s="81">
        <f>+M33</f>
        <v>0</v>
      </c>
      <c r="G44" s="86" t="s">
        <v>29</v>
      </c>
      <c r="H44" s="93">
        <v>0</v>
      </c>
      <c r="I44" s="93">
        <f t="shared" si="10"/>
        <v>0</v>
      </c>
      <c r="J44" s="93">
        <f t="shared" si="13"/>
        <v>0</v>
      </c>
      <c r="K44" s="93"/>
      <c r="L44" s="96">
        <v>0</v>
      </c>
      <c r="M44" s="96">
        <v>0</v>
      </c>
      <c r="N44" s="96">
        <v>0</v>
      </c>
      <c r="O44" s="97">
        <v>0</v>
      </c>
      <c r="P44" s="97">
        <f t="shared" si="14"/>
        <v>0</v>
      </c>
      <c r="Q44" s="158">
        <v>0</v>
      </c>
      <c r="R44" s="158">
        <v>0</v>
      </c>
      <c r="S44" s="98">
        <v>0</v>
      </c>
      <c r="T44" s="98">
        <f t="shared" si="15"/>
        <v>0</v>
      </c>
      <c r="U44" s="98">
        <f t="shared" si="11"/>
        <v>0</v>
      </c>
      <c r="V44" s="94"/>
      <c r="W44" s="95">
        <f t="shared" si="12"/>
        <v>0</v>
      </c>
      <c r="X44" s="123">
        <v>0</v>
      </c>
      <c r="Y44" s="123">
        <v>0</v>
      </c>
      <c r="Z44" s="123">
        <v>0</v>
      </c>
      <c r="AA44" s="123">
        <v>0</v>
      </c>
      <c r="AB44" s="123">
        <v>0</v>
      </c>
    </row>
    <row r="45" spans="1:28" s="4" customFormat="1" x14ac:dyDescent="0.2">
      <c r="A45" s="83" t="s">
        <v>11</v>
      </c>
      <c r="B45" s="84" t="s">
        <v>12</v>
      </c>
      <c r="C45" s="84"/>
      <c r="D45" s="104">
        <v>0.15</v>
      </c>
      <c r="E45" s="84"/>
      <c r="F45" s="81">
        <f>ROUND((L15*D45),0)</f>
        <v>50820</v>
      </c>
      <c r="G45" s="86" t="s">
        <v>30</v>
      </c>
      <c r="H45" s="93">
        <v>0</v>
      </c>
      <c r="I45" s="93">
        <f t="shared" si="10"/>
        <v>0</v>
      </c>
      <c r="J45" s="93">
        <f t="shared" si="13"/>
        <v>0</v>
      </c>
      <c r="K45" s="93"/>
      <c r="L45" s="96">
        <v>0</v>
      </c>
      <c r="M45" s="96">
        <v>0</v>
      </c>
      <c r="N45" s="96">
        <v>0</v>
      </c>
      <c r="O45" s="97">
        <v>0</v>
      </c>
      <c r="P45" s="97">
        <f t="shared" si="14"/>
        <v>0</v>
      </c>
      <c r="Q45" s="158">
        <v>0</v>
      </c>
      <c r="R45" s="158">
        <v>0</v>
      </c>
      <c r="S45" s="98">
        <v>0</v>
      </c>
      <c r="T45" s="98">
        <f t="shared" si="15"/>
        <v>0</v>
      </c>
      <c r="U45" s="98">
        <f t="shared" si="11"/>
        <v>0</v>
      </c>
      <c r="V45" s="94"/>
      <c r="W45" s="95">
        <f t="shared" si="12"/>
        <v>0</v>
      </c>
      <c r="X45" s="123">
        <v>0</v>
      </c>
      <c r="Y45" s="123">
        <v>0</v>
      </c>
      <c r="Z45" s="123">
        <v>0</v>
      </c>
      <c r="AA45" s="123">
        <v>0</v>
      </c>
      <c r="AB45" s="123">
        <v>0</v>
      </c>
    </row>
    <row r="46" spans="1:28" s="4" customFormat="1" x14ac:dyDescent="0.2">
      <c r="A46" s="83" t="s">
        <v>11</v>
      </c>
      <c r="B46" s="105" t="s">
        <v>66</v>
      </c>
      <c r="C46" s="106"/>
      <c r="D46" s="106"/>
      <c r="E46" s="84"/>
      <c r="F46" s="107">
        <v>0</v>
      </c>
      <c r="G46" s="86" t="s">
        <v>31</v>
      </c>
      <c r="H46" s="93">
        <v>0</v>
      </c>
      <c r="I46" s="93">
        <f t="shared" si="10"/>
        <v>0</v>
      </c>
      <c r="J46" s="93">
        <f t="shared" si="13"/>
        <v>0</v>
      </c>
      <c r="K46" s="93"/>
      <c r="L46" s="96">
        <v>0</v>
      </c>
      <c r="M46" s="96">
        <v>0</v>
      </c>
      <c r="N46" s="96">
        <v>0</v>
      </c>
      <c r="O46" s="97">
        <v>0</v>
      </c>
      <c r="P46" s="97">
        <f t="shared" si="14"/>
        <v>0</v>
      </c>
      <c r="Q46" s="158">
        <v>0</v>
      </c>
      <c r="R46" s="158">
        <v>0</v>
      </c>
      <c r="S46" s="98">
        <v>0</v>
      </c>
      <c r="T46" s="98">
        <f t="shared" si="15"/>
        <v>0</v>
      </c>
      <c r="U46" s="98">
        <f t="shared" si="11"/>
        <v>0</v>
      </c>
      <c r="V46" s="94"/>
      <c r="W46" s="95">
        <f t="shared" si="12"/>
        <v>0</v>
      </c>
      <c r="X46" s="123">
        <v>0</v>
      </c>
      <c r="Y46" s="123">
        <v>0</v>
      </c>
      <c r="Z46" s="123">
        <v>0</v>
      </c>
      <c r="AA46" s="123">
        <v>0</v>
      </c>
      <c r="AB46" s="123">
        <v>0</v>
      </c>
    </row>
    <row r="47" spans="1:28" s="4" customFormat="1" x14ac:dyDescent="0.2">
      <c r="A47" s="83" t="s">
        <v>11</v>
      </c>
      <c r="B47" s="106" t="s">
        <v>19</v>
      </c>
      <c r="C47" s="106"/>
      <c r="D47" s="106"/>
      <c r="E47" s="84"/>
      <c r="F47" s="108">
        <f>SUM(F43:F45)</f>
        <v>89544</v>
      </c>
      <c r="G47" s="86" t="s">
        <v>32</v>
      </c>
      <c r="H47" s="93">
        <v>0</v>
      </c>
      <c r="I47" s="93">
        <f t="shared" si="10"/>
        <v>0</v>
      </c>
      <c r="J47" s="93">
        <f t="shared" si="13"/>
        <v>0</v>
      </c>
      <c r="K47" s="93"/>
      <c r="L47" s="96">
        <v>0</v>
      </c>
      <c r="M47" s="96">
        <v>0</v>
      </c>
      <c r="N47" s="96">
        <v>0</v>
      </c>
      <c r="O47" s="97">
        <v>0</v>
      </c>
      <c r="P47" s="97">
        <f t="shared" si="14"/>
        <v>0</v>
      </c>
      <c r="Q47" s="158">
        <v>0</v>
      </c>
      <c r="R47" s="158">
        <v>0</v>
      </c>
      <c r="S47" s="98">
        <v>0</v>
      </c>
      <c r="T47" s="98">
        <f t="shared" si="15"/>
        <v>0</v>
      </c>
      <c r="U47" s="98">
        <f t="shared" si="11"/>
        <v>0</v>
      </c>
      <c r="V47" s="94"/>
      <c r="W47" s="95">
        <f t="shared" si="12"/>
        <v>0</v>
      </c>
      <c r="X47" s="123">
        <v>0</v>
      </c>
      <c r="Y47" s="123">
        <v>0</v>
      </c>
      <c r="Z47" s="123">
        <v>0</v>
      </c>
      <c r="AA47" s="123">
        <v>0</v>
      </c>
      <c r="AB47" s="123">
        <v>0</v>
      </c>
    </row>
    <row r="48" spans="1:28" s="4" customFormat="1" x14ac:dyDescent="0.2">
      <c r="A48" s="109" t="s">
        <v>20</v>
      </c>
      <c r="B48" s="110"/>
      <c r="C48" s="110"/>
      <c r="D48" s="110"/>
      <c r="E48" s="110"/>
      <c r="F48" s="111">
        <f>+F43+F45</f>
        <v>89544</v>
      </c>
      <c r="G48" s="86" t="s">
        <v>33</v>
      </c>
      <c r="H48" s="93">
        <v>0</v>
      </c>
      <c r="I48" s="93">
        <f t="shared" si="10"/>
        <v>0</v>
      </c>
      <c r="J48" s="93">
        <f t="shared" si="13"/>
        <v>0</v>
      </c>
      <c r="K48" s="93"/>
      <c r="L48" s="96">
        <v>0</v>
      </c>
      <c r="M48" s="96">
        <v>0</v>
      </c>
      <c r="N48" s="96">
        <v>0</v>
      </c>
      <c r="O48" s="97">
        <v>0</v>
      </c>
      <c r="P48" s="97">
        <f t="shared" si="14"/>
        <v>0</v>
      </c>
      <c r="Q48" s="158">
        <v>0</v>
      </c>
      <c r="R48" s="158">
        <v>0</v>
      </c>
      <c r="S48" s="98">
        <v>0</v>
      </c>
      <c r="T48" s="98">
        <f t="shared" si="15"/>
        <v>0</v>
      </c>
      <c r="U48" s="98">
        <f t="shared" si="11"/>
        <v>0</v>
      </c>
      <c r="V48" s="94"/>
      <c r="W48" s="95">
        <f t="shared" si="12"/>
        <v>0</v>
      </c>
      <c r="X48" s="123">
        <v>0</v>
      </c>
      <c r="Y48" s="123">
        <v>0</v>
      </c>
      <c r="Z48" s="123">
        <v>0</v>
      </c>
      <c r="AA48" s="123">
        <v>0</v>
      </c>
      <c r="AB48" s="123">
        <v>0</v>
      </c>
    </row>
    <row r="49" spans="1:35" s="4" customFormat="1" x14ac:dyDescent="0.2">
      <c r="A49" s="109" t="s">
        <v>21</v>
      </c>
      <c r="B49" s="110"/>
      <c r="C49" s="110"/>
      <c r="D49" s="110"/>
      <c r="E49" s="110"/>
      <c r="F49" s="112">
        <f>+F48/L15</f>
        <v>0.2642951803850615</v>
      </c>
      <c r="G49" s="113" t="s">
        <v>36</v>
      </c>
      <c r="H49" s="114">
        <f>SUM(H37:H48)</f>
        <v>5333822</v>
      </c>
      <c r="I49" s="114">
        <f>SUM(I37:I48)</f>
        <v>1013426</v>
      </c>
      <c r="J49" s="114">
        <f>SUM(J37:J48)</f>
        <v>6347248</v>
      </c>
      <c r="K49" s="93"/>
      <c r="L49" s="116">
        <f>SUM(L37:L48)</f>
        <v>571034</v>
      </c>
      <c r="M49" s="116">
        <f t="shared" ref="M49:P49" si="16">SUM(M37:M48)</f>
        <v>0</v>
      </c>
      <c r="N49" s="116">
        <f t="shared" si="16"/>
        <v>109066</v>
      </c>
      <c r="O49" s="116">
        <f t="shared" si="16"/>
        <v>0</v>
      </c>
      <c r="P49" s="116">
        <f t="shared" si="16"/>
        <v>680100</v>
      </c>
      <c r="Q49" s="159">
        <f>SUM(Q37:Q48)</f>
        <v>0</v>
      </c>
      <c r="R49" s="159">
        <f>SUM(R37:R48)</f>
        <v>0</v>
      </c>
      <c r="S49" s="117">
        <f>SUM(S37:S48)</f>
        <v>0</v>
      </c>
      <c r="T49" s="117">
        <f t="shared" ref="T49:U49" si="17">SUM(T37:T48)</f>
        <v>0</v>
      </c>
      <c r="U49" s="117">
        <f t="shared" si="17"/>
        <v>0</v>
      </c>
      <c r="V49" s="144">
        <f>SUM(V37:V48)</f>
        <v>0.65</v>
      </c>
      <c r="W49" s="115">
        <f>SUM(W37:W48)</f>
        <v>550322.35</v>
      </c>
      <c r="X49" s="124">
        <f>SUM(X37:X48)</f>
        <v>0</v>
      </c>
      <c r="Y49" s="124">
        <f t="shared" ref="Y49:AB49" si="18">SUM(Y37:Y48)</f>
        <v>0</v>
      </c>
      <c r="Z49" s="124">
        <f t="shared" si="18"/>
        <v>288000</v>
      </c>
      <c r="AA49" s="124">
        <f>SUM(AA37:AA48)</f>
        <v>0</v>
      </c>
      <c r="AB49" s="124">
        <f t="shared" si="18"/>
        <v>30084</v>
      </c>
    </row>
    <row r="50" spans="1:35" s="4" customFormat="1" x14ac:dyDescent="0.2">
      <c r="A50" s="118" t="s">
        <v>125</v>
      </c>
      <c r="B50" s="119"/>
      <c r="C50" s="119"/>
      <c r="D50" s="119"/>
      <c r="E50" s="119"/>
      <c r="F50" s="120">
        <f>+F43/L15</f>
        <v>0.11429650859053786</v>
      </c>
      <c r="G50" s="145" t="s">
        <v>54</v>
      </c>
      <c r="H50" s="146">
        <f>+H49/6</f>
        <v>888970.33333333337</v>
      </c>
      <c r="I50" s="146">
        <f>+I49/6</f>
        <v>168904.33333333334</v>
      </c>
      <c r="J50" s="146">
        <f>+J49/6</f>
        <v>1057874.6666666667</v>
      </c>
      <c r="K50" s="145"/>
      <c r="L50" s="149">
        <f t="shared" ref="L50:AB50" si="19">+L49/6</f>
        <v>95172.333333333328</v>
      </c>
      <c r="M50" s="149">
        <f t="shared" si="19"/>
        <v>0</v>
      </c>
      <c r="N50" s="149">
        <f t="shared" si="19"/>
        <v>18177.666666666668</v>
      </c>
      <c r="O50" s="149">
        <f t="shared" si="19"/>
        <v>0</v>
      </c>
      <c r="P50" s="149">
        <f t="shared" si="19"/>
        <v>113350</v>
      </c>
      <c r="Q50" s="160">
        <f t="shared" si="19"/>
        <v>0</v>
      </c>
      <c r="R50" s="160">
        <f t="shared" si="19"/>
        <v>0</v>
      </c>
      <c r="S50" s="150">
        <f t="shared" si="19"/>
        <v>0</v>
      </c>
      <c r="T50" s="150">
        <f t="shared" si="19"/>
        <v>0</v>
      </c>
      <c r="U50" s="150">
        <f t="shared" si="19"/>
        <v>0</v>
      </c>
      <c r="V50" s="147">
        <f t="shared" si="19"/>
        <v>0.10833333333333334</v>
      </c>
      <c r="W50" s="148">
        <f t="shared" si="19"/>
        <v>91720.391666666663</v>
      </c>
      <c r="X50" s="151">
        <f t="shared" si="19"/>
        <v>0</v>
      </c>
      <c r="Y50" s="151">
        <f t="shared" si="19"/>
        <v>0</v>
      </c>
      <c r="Z50" s="151">
        <f t="shared" si="19"/>
        <v>48000</v>
      </c>
      <c r="AA50" s="151">
        <f t="shared" si="19"/>
        <v>0</v>
      </c>
      <c r="AB50" s="151">
        <f t="shared" si="19"/>
        <v>5014</v>
      </c>
    </row>
    <row r="51" spans="1:35" s="4" customFormat="1" x14ac:dyDescent="0.2">
      <c r="A51" s="2"/>
      <c r="B51" s="2"/>
      <c r="C51" s="2"/>
      <c r="D51" s="2"/>
      <c r="E51" s="2"/>
      <c r="F51" s="2"/>
      <c r="G51" s="2"/>
      <c r="Q51" s="2"/>
      <c r="R51" s="2"/>
      <c r="T51" s="2"/>
      <c r="U51" s="2"/>
    </row>
    <row r="52" spans="1:35" x14ac:dyDescent="0.2">
      <c r="X52" s="121"/>
      <c r="AB52" s="121"/>
      <c r="AD52" s="4"/>
      <c r="AF52" s="121"/>
      <c r="AI52" s="121">
        <v>-4.5</v>
      </c>
    </row>
    <row r="53" spans="1:35" x14ac:dyDescent="0.2">
      <c r="AD53" s="4"/>
    </row>
  </sheetData>
  <mergeCells count="12">
    <mergeCell ref="X35:AB35"/>
    <mergeCell ref="B3:D3"/>
    <mergeCell ref="E3:F3"/>
    <mergeCell ref="E4:F4"/>
    <mergeCell ref="E18:F18"/>
    <mergeCell ref="E30:F30"/>
    <mergeCell ref="A35:F35"/>
    <mergeCell ref="G35:K35"/>
    <mergeCell ref="L35:P35"/>
    <mergeCell ref="Q35:R35"/>
    <mergeCell ref="S35:U35"/>
    <mergeCell ref="V35:W35"/>
  </mergeCells>
  <pageMargins left="0.7" right="0.7" top="0.75" bottom="0.75" header="0.3" footer="0.3"/>
  <pageSetup orientation="portrait" horizontalDpi="200" verticalDpi="200" r:id="rId1"/>
  <ignoredErrors>
    <ignoredError sqref="P19 P20:P22" formulaRange="1"/>
    <ignoredError sqref="P23" formula="1" formulaRange="1"/>
    <ignoredError sqref="N27 M8:N8 M11" 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32C7-7723-4765-A43B-1C1C95DDBA18}">
  <dimension ref="A1:AK52"/>
  <sheetViews>
    <sheetView zoomScale="117" zoomScaleNormal="117" workbookViewId="0">
      <pane ySplit="4" topLeftCell="A12" activePane="bottomLeft" state="frozen"/>
      <selection pane="bottomLeft" activeCell="S18" sqref="S18"/>
    </sheetView>
  </sheetViews>
  <sheetFormatPr baseColWidth="10" defaultColWidth="11.42578125" defaultRowHeight="11.25" x14ac:dyDescent="0.2"/>
  <cols>
    <col min="1" max="3" width="3.7109375" style="2" customWidth="1"/>
    <col min="4" max="4" width="5.7109375" style="2" customWidth="1"/>
    <col min="5" max="5" width="3.7109375" style="2" customWidth="1"/>
    <col min="6" max="10" width="9.28515625" style="2" customWidth="1"/>
    <col min="11" max="11" width="1.7109375" style="2" customWidth="1"/>
    <col min="12" max="17" width="9.28515625" style="2" customWidth="1"/>
    <col min="18" max="18" width="9.28515625" style="4" customWidth="1"/>
    <col min="19" max="28" width="9.28515625" style="2" customWidth="1"/>
    <col min="29" max="16384" width="11.42578125" style="2"/>
  </cols>
  <sheetData>
    <row r="1" spans="1:22" s="4" customFormat="1" x14ac:dyDescent="0.2">
      <c r="A1" s="174" t="s">
        <v>105</v>
      </c>
      <c r="B1" s="175"/>
      <c r="C1" s="175"/>
      <c r="D1" s="175"/>
      <c r="E1" s="176"/>
      <c r="F1" s="176"/>
      <c r="G1" s="37" t="s">
        <v>44</v>
      </c>
      <c r="H1" s="50"/>
      <c r="I1" s="176"/>
      <c r="J1" s="176"/>
      <c r="K1" s="177"/>
      <c r="L1" s="176"/>
      <c r="M1" s="178" t="s">
        <v>107</v>
      </c>
      <c r="N1" s="177">
        <v>2023</v>
      </c>
      <c r="O1" s="3"/>
      <c r="P1" s="3"/>
      <c r="Q1" s="3"/>
    </row>
    <row r="2" spans="1:22" s="4" customFormat="1" x14ac:dyDescent="0.2">
      <c r="A2" s="5" t="s">
        <v>3</v>
      </c>
      <c r="B2" s="6"/>
      <c r="C2" s="6"/>
      <c r="D2" s="6"/>
      <c r="E2" s="6"/>
      <c r="F2" s="7"/>
      <c r="G2" s="2"/>
      <c r="H2" s="2"/>
      <c r="I2" s="2"/>
      <c r="J2" s="8"/>
      <c r="K2" s="8"/>
      <c r="L2" s="3"/>
      <c r="M2" s="3"/>
      <c r="N2" s="3"/>
      <c r="O2" s="3"/>
      <c r="P2" s="3"/>
      <c r="Q2" s="3"/>
    </row>
    <row r="3" spans="1:22" s="4" customFormat="1" x14ac:dyDescent="0.2">
      <c r="A3" s="9" t="s">
        <v>41</v>
      </c>
      <c r="B3" s="189" t="s">
        <v>40</v>
      </c>
      <c r="C3" s="189"/>
      <c r="D3" s="189"/>
      <c r="E3" s="190" t="s">
        <v>82</v>
      </c>
      <c r="F3" s="190"/>
      <c r="G3" s="10"/>
      <c r="H3" s="10"/>
      <c r="I3" s="10"/>
      <c r="J3" s="10"/>
      <c r="K3" s="10"/>
      <c r="L3" s="11"/>
      <c r="M3" s="11"/>
      <c r="N3" s="11"/>
      <c r="O3" s="11"/>
      <c r="P3" s="11"/>
      <c r="Q3" s="11"/>
    </row>
    <row r="4" spans="1:22" s="4" customFormat="1" x14ac:dyDescent="0.2">
      <c r="A4" s="9" t="s">
        <v>42</v>
      </c>
      <c r="B4" s="12" t="s">
        <v>37</v>
      </c>
      <c r="C4" s="12" t="s">
        <v>38</v>
      </c>
      <c r="D4" s="12" t="s">
        <v>39</v>
      </c>
      <c r="E4" s="190" t="s">
        <v>81</v>
      </c>
      <c r="F4" s="190"/>
      <c r="G4" s="9"/>
      <c r="H4" s="9" t="s">
        <v>0</v>
      </c>
      <c r="I4" s="9"/>
      <c r="J4" s="9" t="s">
        <v>5</v>
      </c>
      <c r="K4" s="9"/>
      <c r="L4" s="9" t="s">
        <v>52</v>
      </c>
      <c r="M4" s="9" t="s">
        <v>1</v>
      </c>
      <c r="N4" s="9" t="s">
        <v>2</v>
      </c>
      <c r="O4" s="2"/>
      <c r="P4" s="2"/>
      <c r="Q4" s="2"/>
    </row>
    <row r="5" spans="1:22" s="4" customFormat="1" x14ac:dyDescent="0.2">
      <c r="A5" s="13">
        <v>1</v>
      </c>
      <c r="B5" s="13">
        <v>6</v>
      </c>
      <c r="C5" s="13">
        <v>5</v>
      </c>
      <c r="D5" s="14">
        <v>2023</v>
      </c>
      <c r="E5" s="14" t="s">
        <v>77</v>
      </c>
      <c r="F5" s="167">
        <v>29</v>
      </c>
      <c r="G5" s="15" t="s">
        <v>89</v>
      </c>
      <c r="H5" s="15"/>
      <c r="I5" s="15"/>
      <c r="J5" s="168">
        <v>94510000</v>
      </c>
      <c r="K5" s="14">
        <v>1</v>
      </c>
      <c r="L5" s="16">
        <v>50624</v>
      </c>
      <c r="M5" s="16">
        <f t="shared" ref="M5:M7" si="0">ROUND((L5*19%),0)</f>
        <v>9619</v>
      </c>
      <c r="N5" s="16">
        <f>ROUND((L5+M5),0)</f>
        <v>60243</v>
      </c>
      <c r="O5" s="2"/>
      <c r="P5" s="2"/>
      <c r="Q5" s="2"/>
    </row>
    <row r="6" spans="1:22" s="4" customFormat="1" x14ac:dyDescent="0.2">
      <c r="A6" s="13">
        <v>2</v>
      </c>
      <c r="B6" s="13">
        <v>15</v>
      </c>
      <c r="C6" s="13">
        <v>5</v>
      </c>
      <c r="D6" s="14">
        <v>2023</v>
      </c>
      <c r="E6" s="14" t="s">
        <v>77</v>
      </c>
      <c r="F6" s="167">
        <v>30</v>
      </c>
      <c r="G6" s="15" t="s">
        <v>93</v>
      </c>
      <c r="H6" s="15"/>
      <c r="I6" s="15"/>
      <c r="J6" s="168">
        <v>99147000</v>
      </c>
      <c r="K6" s="14" t="s">
        <v>94</v>
      </c>
      <c r="L6" s="16">
        <v>89662</v>
      </c>
      <c r="M6" s="16">
        <f t="shared" si="0"/>
        <v>17036</v>
      </c>
      <c r="N6" s="16">
        <f t="shared" ref="N6:N7" si="1">ROUND((L6+M6),0)</f>
        <v>106698</v>
      </c>
      <c r="O6" s="2"/>
      <c r="P6" s="2"/>
      <c r="Q6" s="2"/>
    </row>
    <row r="7" spans="1:22" s="4" customFormat="1" x14ac:dyDescent="0.2">
      <c r="A7" s="13">
        <v>3</v>
      </c>
      <c r="B7" s="13">
        <v>15</v>
      </c>
      <c r="C7" s="13">
        <v>5</v>
      </c>
      <c r="D7" s="14">
        <v>2023</v>
      </c>
      <c r="E7" s="14" t="s">
        <v>77</v>
      </c>
      <c r="F7" s="167">
        <v>31</v>
      </c>
      <c r="G7" s="15" t="s">
        <v>95</v>
      </c>
      <c r="H7" s="15"/>
      <c r="I7" s="15"/>
      <c r="J7" s="168">
        <v>99061000</v>
      </c>
      <c r="K7" s="14">
        <v>2</v>
      </c>
      <c r="L7" s="16">
        <v>97801</v>
      </c>
      <c r="M7" s="16">
        <f t="shared" si="0"/>
        <v>18582</v>
      </c>
      <c r="N7" s="16">
        <f t="shared" si="1"/>
        <v>116383</v>
      </c>
      <c r="O7" s="2"/>
      <c r="P7" s="2"/>
      <c r="Q7" s="2"/>
      <c r="R7" s="161"/>
      <c r="S7" s="162"/>
      <c r="T7" s="162"/>
      <c r="U7" s="162"/>
      <c r="V7" s="8"/>
    </row>
    <row r="8" spans="1:22" s="4" customFormat="1" x14ac:dyDescent="0.2">
      <c r="A8" s="1" t="s">
        <v>51</v>
      </c>
      <c r="B8" s="17"/>
      <c r="C8" s="17"/>
      <c r="D8" s="18"/>
      <c r="E8" s="18"/>
      <c r="F8" s="19"/>
      <c r="G8" s="20"/>
      <c r="H8" s="20"/>
      <c r="I8" s="20"/>
      <c r="J8" s="18"/>
      <c r="K8" s="18"/>
      <c r="L8" s="21">
        <f>SUM(L5:L7)</f>
        <v>238087</v>
      </c>
      <c r="M8" s="21">
        <f>SUM(M5:M7)</f>
        <v>45237</v>
      </c>
      <c r="N8" s="21">
        <f>SUM(N5:N7)</f>
        <v>283324</v>
      </c>
      <c r="O8" s="2"/>
      <c r="P8" s="2"/>
    </row>
    <row r="9" spans="1:22" s="4" customFormat="1" x14ac:dyDescent="0.2">
      <c r="A9" s="22">
        <v>1</v>
      </c>
      <c r="B9" s="22"/>
      <c r="C9" s="22">
        <v>5</v>
      </c>
      <c r="D9" s="23">
        <v>2023</v>
      </c>
      <c r="E9" s="23" t="s">
        <v>78</v>
      </c>
      <c r="F9" s="22"/>
      <c r="G9" s="24"/>
      <c r="H9" s="24"/>
      <c r="I9" s="24"/>
      <c r="J9" s="169"/>
      <c r="K9" s="23"/>
      <c r="L9" s="170"/>
      <c r="M9" s="25">
        <f t="shared" ref="M9:M10" si="2">ROUND((L9*19%),0)</f>
        <v>0</v>
      </c>
      <c r="N9" s="25">
        <f>ROUND((L9+M9),0)</f>
        <v>0</v>
      </c>
      <c r="O9" s="2"/>
      <c r="P9" s="2"/>
      <c r="Q9" s="2"/>
    </row>
    <row r="10" spans="1:22" s="4" customFormat="1" x14ac:dyDescent="0.2">
      <c r="A10" s="22">
        <v>2</v>
      </c>
      <c r="B10" s="22"/>
      <c r="C10" s="22">
        <v>5</v>
      </c>
      <c r="D10" s="23">
        <v>2023</v>
      </c>
      <c r="E10" s="23" t="s">
        <v>78</v>
      </c>
      <c r="F10" s="22"/>
      <c r="G10" s="24"/>
      <c r="H10" s="24"/>
      <c r="I10" s="24"/>
      <c r="J10" s="169"/>
      <c r="K10" s="23"/>
      <c r="L10" s="170"/>
      <c r="M10" s="25">
        <f t="shared" si="2"/>
        <v>0</v>
      </c>
      <c r="N10" s="25">
        <f t="shared" ref="N10" si="3">ROUND((L10+M10),0)</f>
        <v>0</v>
      </c>
      <c r="O10" s="2"/>
      <c r="P10" s="2"/>
      <c r="Q10" s="2"/>
    </row>
    <row r="11" spans="1:22" s="4" customFormat="1" x14ac:dyDescent="0.2">
      <c r="A11" s="26" t="s">
        <v>50</v>
      </c>
      <c r="B11" s="27"/>
      <c r="C11" s="27"/>
      <c r="D11" s="28"/>
      <c r="E11" s="28"/>
      <c r="F11" s="29"/>
      <c r="G11" s="30"/>
      <c r="H11" s="30"/>
      <c r="I11" s="30"/>
      <c r="J11" s="28"/>
      <c r="K11" s="28"/>
      <c r="L11" s="31">
        <f>SUM(L9:L10)</f>
        <v>0</v>
      </c>
      <c r="M11" s="31">
        <f>SUM(M9:M10)</f>
        <v>0</v>
      </c>
      <c r="N11" s="31">
        <f>SUM(N9:N10)</f>
        <v>0</v>
      </c>
      <c r="O11" s="30"/>
      <c r="P11" s="30"/>
      <c r="Q11" s="2"/>
      <c r="R11" s="2"/>
      <c r="S11" s="2"/>
    </row>
    <row r="12" spans="1:22" s="4" customFormat="1" x14ac:dyDescent="0.2">
      <c r="A12" s="32">
        <v>1</v>
      </c>
      <c r="B12" s="32"/>
      <c r="C12" s="32">
        <v>5</v>
      </c>
      <c r="D12" s="33">
        <v>2023</v>
      </c>
      <c r="E12" s="33" t="s">
        <v>79</v>
      </c>
      <c r="F12" s="34"/>
      <c r="G12" s="35"/>
      <c r="H12" s="35"/>
      <c r="I12" s="35"/>
      <c r="J12" s="171"/>
      <c r="K12" s="33"/>
      <c r="L12" s="36"/>
      <c r="M12" s="36">
        <f t="shared" ref="M12:M13" si="4">ROUND((L12*19%),0)</f>
        <v>0</v>
      </c>
      <c r="N12" s="36">
        <f t="shared" ref="N12:N13" si="5">SUM(L12:M12)</f>
        <v>0</v>
      </c>
      <c r="O12" s="30"/>
      <c r="P12" s="30"/>
      <c r="R12" s="2"/>
    </row>
    <row r="13" spans="1:22" s="4" customFormat="1" x14ac:dyDescent="0.2">
      <c r="A13" s="32">
        <v>2</v>
      </c>
      <c r="B13" s="32"/>
      <c r="C13" s="32">
        <v>5</v>
      </c>
      <c r="D13" s="33">
        <v>2023</v>
      </c>
      <c r="E13" s="33" t="s">
        <v>79</v>
      </c>
      <c r="F13" s="34"/>
      <c r="G13" s="35"/>
      <c r="H13" s="35"/>
      <c r="I13" s="35"/>
      <c r="J13" s="33"/>
      <c r="K13" s="33"/>
      <c r="L13" s="36"/>
      <c r="M13" s="36">
        <f t="shared" si="4"/>
        <v>0</v>
      </c>
      <c r="N13" s="36">
        <f t="shared" si="5"/>
        <v>0</v>
      </c>
      <c r="O13" s="30"/>
      <c r="P13" s="30"/>
      <c r="Q13" s="2"/>
    </row>
    <row r="14" spans="1:22" s="4" customFormat="1" x14ac:dyDescent="0.2">
      <c r="A14" s="37" t="s">
        <v>65</v>
      </c>
      <c r="B14" s="38"/>
      <c r="C14" s="38"/>
      <c r="D14" s="39"/>
      <c r="E14" s="39"/>
      <c r="F14" s="40"/>
      <c r="G14" s="41"/>
      <c r="H14" s="41"/>
      <c r="I14" s="41"/>
      <c r="J14" s="39"/>
      <c r="K14" s="39"/>
      <c r="L14" s="42">
        <f>SUM(L12:L13)</f>
        <v>0</v>
      </c>
      <c r="M14" s="42">
        <f t="shared" ref="M14:N14" si="6">SUM(M12:M13)</f>
        <v>0</v>
      </c>
      <c r="N14" s="42">
        <f t="shared" si="6"/>
        <v>0</v>
      </c>
      <c r="O14" s="30"/>
      <c r="P14" s="30"/>
      <c r="Q14" s="2"/>
    </row>
    <row r="15" spans="1:22" s="4" customFormat="1" x14ac:dyDescent="0.2">
      <c r="A15" s="43" t="s">
        <v>16</v>
      </c>
      <c r="B15" s="44"/>
      <c r="C15" s="44"/>
      <c r="D15" s="44"/>
      <c r="E15" s="44"/>
      <c r="F15" s="45"/>
      <c r="G15" s="45"/>
      <c r="H15" s="45"/>
      <c r="I15" s="45"/>
      <c r="J15" s="46"/>
      <c r="K15" s="46"/>
      <c r="L15" s="47">
        <f>+L8+L11+L14</f>
        <v>238087</v>
      </c>
      <c r="M15" s="47">
        <f>+M8+M11+M14</f>
        <v>45237</v>
      </c>
      <c r="N15" s="47">
        <f>+N8+N11+N14</f>
        <v>283324</v>
      </c>
      <c r="O15" s="2"/>
      <c r="P15" s="2"/>
      <c r="Q15" s="2"/>
      <c r="S15" s="48"/>
      <c r="T15" s="49"/>
      <c r="U15" s="50"/>
    </row>
    <row r="16" spans="1:22" x14ac:dyDescent="0.2">
      <c r="S16" s="48"/>
      <c r="T16" s="49"/>
      <c r="U16" s="50"/>
    </row>
    <row r="17" spans="1:37" s="4" customFormat="1" x14ac:dyDescent="0.2">
      <c r="A17" s="51" t="s">
        <v>6</v>
      </c>
      <c r="B17" s="52"/>
      <c r="C17" s="52"/>
      <c r="D17" s="52"/>
      <c r="E17" s="53"/>
      <c r="F17" s="53"/>
      <c r="G17" s="2"/>
      <c r="H17" s="2"/>
      <c r="I17" s="2"/>
      <c r="J17" s="8"/>
      <c r="K17" s="8"/>
      <c r="L17" s="54"/>
      <c r="M17" s="3"/>
      <c r="N17" s="3"/>
      <c r="O17" s="3"/>
      <c r="P17" s="3"/>
      <c r="Q17" s="3"/>
      <c r="S17" s="48"/>
      <c r="T17" s="49"/>
      <c r="U17" s="50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1:37" x14ac:dyDescent="0.2">
      <c r="A18" s="55" t="s">
        <v>41</v>
      </c>
      <c r="B18" s="56" t="s">
        <v>37</v>
      </c>
      <c r="C18" s="56" t="s">
        <v>38</v>
      </c>
      <c r="D18" s="56" t="s">
        <v>39</v>
      </c>
      <c r="E18" s="191" t="s">
        <v>71</v>
      </c>
      <c r="F18" s="191"/>
      <c r="G18" s="55"/>
      <c r="H18" s="55" t="s">
        <v>4</v>
      </c>
      <c r="I18" s="55"/>
      <c r="J18" s="55" t="s">
        <v>5</v>
      </c>
      <c r="K18" s="55"/>
      <c r="L18" s="55" t="s">
        <v>52</v>
      </c>
      <c r="M18" s="55" t="s">
        <v>35</v>
      </c>
      <c r="N18" s="55" t="s">
        <v>1</v>
      </c>
      <c r="O18" s="55" t="s">
        <v>61</v>
      </c>
      <c r="P18" s="55" t="s">
        <v>2</v>
      </c>
    </row>
    <row r="19" spans="1:37" x14ac:dyDescent="0.2">
      <c r="A19" s="57">
        <v>1</v>
      </c>
      <c r="B19" s="58">
        <v>25</v>
      </c>
      <c r="C19" s="58">
        <v>4</v>
      </c>
      <c r="D19" s="58">
        <v>2023</v>
      </c>
      <c r="E19" s="59" t="s">
        <v>77</v>
      </c>
      <c r="F19" s="59">
        <v>57516</v>
      </c>
      <c r="G19" s="53" t="s">
        <v>109</v>
      </c>
      <c r="H19" s="60"/>
      <c r="I19" s="53"/>
      <c r="J19" s="61">
        <v>77617950</v>
      </c>
      <c r="K19" s="59">
        <v>7</v>
      </c>
      <c r="L19" s="62">
        <v>24210</v>
      </c>
      <c r="M19" s="62">
        <v>0</v>
      </c>
      <c r="N19" s="62">
        <v>4600</v>
      </c>
      <c r="O19" s="62">
        <v>0</v>
      </c>
      <c r="P19" s="62">
        <f>SUM(L19:O19)</f>
        <v>28810</v>
      </c>
      <c r="Q19" s="121"/>
      <c r="R19" s="166"/>
      <c r="S19" s="166"/>
      <c r="T19" s="166"/>
      <c r="U19" s="166"/>
      <c r="V19" s="166"/>
    </row>
    <row r="20" spans="1:37" x14ac:dyDescent="0.2">
      <c r="A20" s="57">
        <v>2</v>
      </c>
      <c r="B20" s="58">
        <v>1</v>
      </c>
      <c r="C20" s="58">
        <v>5</v>
      </c>
      <c r="D20" s="58">
        <v>2023</v>
      </c>
      <c r="E20" s="59" t="s">
        <v>77</v>
      </c>
      <c r="F20" s="59">
        <v>68776069</v>
      </c>
      <c r="G20" s="53" t="s">
        <v>104</v>
      </c>
      <c r="H20" s="60"/>
      <c r="I20" s="53"/>
      <c r="J20" s="61">
        <v>76124890</v>
      </c>
      <c r="K20" s="59">
        <v>1</v>
      </c>
      <c r="L20" s="62">
        <v>76312</v>
      </c>
      <c r="M20" s="62">
        <v>0</v>
      </c>
      <c r="N20" s="62">
        <v>14499</v>
      </c>
      <c r="O20" s="62">
        <v>0</v>
      </c>
      <c r="P20" s="62">
        <f>SUM(L20:O20)</f>
        <v>90811</v>
      </c>
      <c r="U20" s="54"/>
      <c r="V20" s="8"/>
    </row>
    <row r="21" spans="1:37" x14ac:dyDescent="0.2">
      <c r="A21" s="57">
        <v>3</v>
      </c>
      <c r="B21" s="58">
        <v>11</v>
      </c>
      <c r="C21" s="58">
        <v>5</v>
      </c>
      <c r="D21" s="58">
        <v>2023</v>
      </c>
      <c r="E21" s="59" t="s">
        <v>77</v>
      </c>
      <c r="F21" s="59">
        <v>6100364</v>
      </c>
      <c r="G21" s="53" t="s">
        <v>108</v>
      </c>
      <c r="H21" s="60"/>
      <c r="I21" s="53"/>
      <c r="J21" s="61">
        <v>97023000</v>
      </c>
      <c r="K21" s="59">
        <v>9</v>
      </c>
      <c r="L21" s="62">
        <v>10861</v>
      </c>
      <c r="M21" s="62">
        <v>0</v>
      </c>
      <c r="N21" s="62">
        <v>2064</v>
      </c>
      <c r="O21" s="63">
        <v>0</v>
      </c>
      <c r="P21" s="63">
        <f>SUM(L21:O21)</f>
        <v>12925</v>
      </c>
      <c r="R21" s="173"/>
      <c r="U21" s="173"/>
      <c r="W21" s="152"/>
    </row>
    <row r="22" spans="1:37" x14ac:dyDescent="0.2">
      <c r="A22" s="1" t="s">
        <v>49</v>
      </c>
      <c r="B22" s="17"/>
      <c r="C22" s="17"/>
      <c r="D22" s="17"/>
      <c r="E22" s="65"/>
      <c r="F22" s="19"/>
      <c r="G22" s="20"/>
      <c r="H22" s="20"/>
      <c r="I22" s="20"/>
      <c r="J22" s="18"/>
      <c r="K22" s="18"/>
      <c r="L22" s="21">
        <f>SUM(L19:L21)</f>
        <v>111383</v>
      </c>
      <c r="M22" s="21">
        <f>SUM(M19:M21)</f>
        <v>0</v>
      </c>
      <c r="N22" s="21">
        <f>SUM(N19:N21)</f>
        <v>21163</v>
      </c>
      <c r="O22" s="21">
        <f>SUM(O19:O21)</f>
        <v>0</v>
      </c>
      <c r="P22" s="21">
        <f>SUM(P19:P21)</f>
        <v>132546</v>
      </c>
      <c r="R22" s="121"/>
      <c r="S22" s="54"/>
      <c r="U22" s="172"/>
      <c r="V22" s="153"/>
      <c r="W22" s="153"/>
    </row>
    <row r="23" spans="1:37" x14ac:dyDescent="0.2">
      <c r="A23" s="66">
        <v>1</v>
      </c>
      <c r="B23" s="66"/>
      <c r="C23" s="66">
        <v>5</v>
      </c>
      <c r="D23" s="66">
        <v>2023</v>
      </c>
      <c r="E23" s="67" t="s">
        <v>78</v>
      </c>
      <c r="F23" s="68"/>
      <c r="G23" s="69"/>
      <c r="H23" s="70"/>
      <c r="I23" s="69"/>
      <c r="J23" s="71"/>
      <c r="K23" s="72"/>
      <c r="L23" s="73"/>
      <c r="M23" s="74">
        <v>0</v>
      </c>
      <c r="N23" s="74">
        <f t="shared" ref="N23:N24" si="7">ROUND((L23*19%),0)</f>
        <v>0</v>
      </c>
      <c r="O23" s="74">
        <v>0</v>
      </c>
      <c r="P23" s="74">
        <f>SUM(L23:O23)</f>
        <v>0</v>
      </c>
      <c r="R23" s="121"/>
      <c r="S23" s="4"/>
      <c r="U23" s="173"/>
      <c r="V23" s="153"/>
      <c r="W23" s="153"/>
    </row>
    <row r="24" spans="1:37" x14ac:dyDescent="0.2">
      <c r="A24" s="66">
        <v>2</v>
      </c>
      <c r="B24" s="66"/>
      <c r="C24" s="66">
        <v>5</v>
      </c>
      <c r="D24" s="66">
        <v>2023</v>
      </c>
      <c r="E24" s="67" t="s">
        <v>78</v>
      </c>
      <c r="F24" s="68"/>
      <c r="G24" s="69"/>
      <c r="H24" s="70"/>
      <c r="I24" s="69"/>
      <c r="J24" s="71"/>
      <c r="K24" s="72"/>
      <c r="L24" s="74"/>
      <c r="M24" s="74">
        <v>0</v>
      </c>
      <c r="N24" s="74">
        <f t="shared" si="7"/>
        <v>0</v>
      </c>
      <c r="O24" s="74">
        <v>0</v>
      </c>
      <c r="P24" s="74">
        <f>SUM(L24:O24)</f>
        <v>0</v>
      </c>
      <c r="R24" s="121"/>
      <c r="U24" s="173"/>
      <c r="V24" s="153"/>
      <c r="W24" s="153"/>
    </row>
    <row r="25" spans="1:37" x14ac:dyDescent="0.2">
      <c r="A25" s="26" t="s">
        <v>48</v>
      </c>
      <c r="B25" s="27"/>
      <c r="C25" s="27"/>
      <c r="D25" s="27"/>
      <c r="E25" s="75"/>
      <c r="F25" s="29"/>
      <c r="G25" s="30"/>
      <c r="H25" s="30"/>
      <c r="I25" s="30"/>
      <c r="J25" s="28"/>
      <c r="K25" s="28"/>
      <c r="L25" s="31">
        <f>SUM(L23:L24)</f>
        <v>0</v>
      </c>
      <c r="M25" s="31">
        <f>SUM(M23:M24)</f>
        <v>0</v>
      </c>
      <c r="N25" s="31">
        <f>SUM(N23:N24)</f>
        <v>0</v>
      </c>
      <c r="O25" s="31">
        <f>SUM(O23:O24)</f>
        <v>0</v>
      </c>
      <c r="P25" s="31">
        <f>SUM(P23:P24)</f>
        <v>0</v>
      </c>
      <c r="R25" s="121"/>
      <c r="U25" s="173"/>
      <c r="V25" s="153"/>
      <c r="W25" s="153"/>
    </row>
    <row r="26" spans="1:37" x14ac:dyDescent="0.2">
      <c r="A26" s="76" t="s">
        <v>17</v>
      </c>
      <c r="B26" s="56"/>
      <c r="C26" s="56"/>
      <c r="D26" s="56"/>
      <c r="E26" s="56"/>
      <c r="F26" s="77"/>
      <c r="G26" s="77"/>
      <c r="H26" s="77"/>
      <c r="I26" s="77"/>
      <c r="J26" s="78"/>
      <c r="K26" s="78"/>
      <c r="L26" s="79">
        <f>+L22+L25</f>
        <v>111383</v>
      </c>
      <c r="M26" s="79">
        <f>+M22-M25</f>
        <v>0</v>
      </c>
      <c r="N26" s="79">
        <f>N22+N25</f>
        <v>21163</v>
      </c>
      <c r="O26" s="79">
        <f>+O22-O25</f>
        <v>0</v>
      </c>
      <c r="P26" s="79">
        <f>+P22+P25</f>
        <v>132546</v>
      </c>
      <c r="R26" s="121"/>
      <c r="S26" s="4"/>
      <c r="U26" s="173"/>
      <c r="V26" s="153"/>
      <c r="W26" s="153"/>
    </row>
    <row r="27" spans="1:37" x14ac:dyDescent="0.2">
      <c r="R27" s="121"/>
      <c r="S27" s="121"/>
      <c r="T27" s="121"/>
      <c r="U27" s="173"/>
      <c r="V27" s="153"/>
      <c r="W27" s="154"/>
    </row>
    <row r="28" spans="1:37" x14ac:dyDescent="0.2">
      <c r="A28" s="125" t="s">
        <v>7</v>
      </c>
      <c r="B28" s="126"/>
      <c r="C28" s="126"/>
      <c r="D28" s="126"/>
      <c r="E28" s="126"/>
      <c r="F28" s="127"/>
      <c r="J28" s="8"/>
      <c r="K28" s="8"/>
      <c r="L28" s="3"/>
      <c r="M28" s="3"/>
      <c r="N28" s="3"/>
      <c r="O28" s="3"/>
      <c r="P28" s="3"/>
      <c r="Q28" s="3"/>
      <c r="R28" s="2"/>
      <c r="U28" s="4"/>
      <c r="V28" s="156"/>
      <c r="W28" s="155"/>
    </row>
    <row r="29" spans="1:37" x14ac:dyDescent="0.2">
      <c r="A29" s="128" t="s">
        <v>41</v>
      </c>
      <c r="B29" s="129" t="s">
        <v>70</v>
      </c>
      <c r="C29" s="129" t="s">
        <v>38</v>
      </c>
      <c r="D29" s="129" t="s">
        <v>39</v>
      </c>
      <c r="E29" s="192" t="s">
        <v>43</v>
      </c>
      <c r="F29" s="192"/>
      <c r="G29" s="128"/>
      <c r="H29" s="128" t="s">
        <v>8</v>
      </c>
      <c r="I29" s="128"/>
      <c r="J29" s="128" t="s">
        <v>5</v>
      </c>
      <c r="K29" s="128"/>
      <c r="L29" s="128" t="s">
        <v>9</v>
      </c>
      <c r="M29" s="128" t="s">
        <v>97</v>
      </c>
      <c r="N29" s="128" t="s">
        <v>10</v>
      </c>
      <c r="R29" s="2"/>
      <c r="U29" s="4"/>
      <c r="V29" s="156"/>
      <c r="W29" s="156"/>
    </row>
    <row r="30" spans="1:37" x14ac:dyDescent="0.2">
      <c r="A30" s="130">
        <v>1</v>
      </c>
      <c r="B30" s="131"/>
      <c r="C30" s="131">
        <v>5</v>
      </c>
      <c r="D30" s="131">
        <v>2023</v>
      </c>
      <c r="E30" s="132" t="s">
        <v>80</v>
      </c>
      <c r="F30" s="133"/>
      <c r="G30" s="137"/>
      <c r="H30" s="138"/>
      <c r="I30" s="138"/>
      <c r="J30" s="139"/>
      <c r="K30" s="132"/>
      <c r="L30" s="140"/>
      <c r="M30" s="141">
        <f>+L30*0.13</f>
        <v>0</v>
      </c>
      <c r="N30" s="141">
        <f>+L30-M30</f>
        <v>0</v>
      </c>
      <c r="R30" s="2"/>
      <c r="S30" s="4"/>
      <c r="U30" s="4"/>
      <c r="V30" s="156"/>
      <c r="W30" s="155"/>
    </row>
    <row r="31" spans="1:37" x14ac:dyDescent="0.2">
      <c r="A31" s="130">
        <v>2</v>
      </c>
      <c r="B31" s="131"/>
      <c r="C31" s="131">
        <v>5</v>
      </c>
      <c r="D31" s="131">
        <v>2023</v>
      </c>
      <c r="E31" s="132" t="s">
        <v>80</v>
      </c>
      <c r="F31" s="133"/>
      <c r="G31" s="137"/>
      <c r="H31" s="138"/>
      <c r="I31" s="138"/>
      <c r="J31" s="139"/>
      <c r="K31" s="132"/>
      <c r="L31" s="140"/>
      <c r="M31" s="141">
        <f>+L31*0.13</f>
        <v>0</v>
      </c>
      <c r="N31" s="141">
        <f t="shared" ref="N31" si="8">+L31-M31</f>
        <v>0</v>
      </c>
      <c r="R31" s="121"/>
      <c r="S31" s="4"/>
      <c r="U31" s="173"/>
      <c r="V31" s="153"/>
      <c r="W31" s="154"/>
    </row>
    <row r="32" spans="1:37" x14ac:dyDescent="0.2">
      <c r="A32" s="134" t="s">
        <v>18</v>
      </c>
      <c r="B32" s="135"/>
      <c r="C32" s="135"/>
      <c r="D32" s="135"/>
      <c r="E32" s="129"/>
      <c r="F32" s="136"/>
      <c r="G32" s="136"/>
      <c r="H32" s="136"/>
      <c r="I32" s="136"/>
      <c r="J32" s="142"/>
      <c r="K32" s="142"/>
      <c r="L32" s="143">
        <f>SUM(L30:L31)</f>
        <v>0</v>
      </c>
      <c r="M32" s="143">
        <f>SUM(M30:M31)</f>
        <v>0</v>
      </c>
      <c r="N32" s="143">
        <f>SUM(N30:N31)</f>
        <v>0</v>
      </c>
      <c r="R32" s="2"/>
      <c r="U32" s="4"/>
      <c r="V32" s="156"/>
      <c r="W32" s="155"/>
    </row>
    <row r="34" spans="1:28" x14ac:dyDescent="0.2">
      <c r="A34" s="193" t="s">
        <v>106</v>
      </c>
      <c r="B34" s="193"/>
      <c r="C34" s="193"/>
      <c r="D34" s="193"/>
      <c r="E34" s="193"/>
      <c r="F34" s="193"/>
      <c r="G34" s="183" t="s">
        <v>55</v>
      </c>
      <c r="H34" s="183"/>
      <c r="I34" s="183"/>
      <c r="J34" s="183"/>
      <c r="K34" s="183"/>
      <c r="L34" s="184" t="s">
        <v>83</v>
      </c>
      <c r="M34" s="184"/>
      <c r="N34" s="184"/>
      <c r="O34" s="184"/>
      <c r="P34" s="184"/>
      <c r="Q34" s="185" t="s">
        <v>75</v>
      </c>
      <c r="R34" s="185"/>
      <c r="S34" s="186" t="s">
        <v>73</v>
      </c>
      <c r="T34" s="186"/>
      <c r="U34" s="186"/>
      <c r="V34" s="187" t="s">
        <v>12</v>
      </c>
      <c r="W34" s="187"/>
      <c r="X34" s="188" t="s">
        <v>69</v>
      </c>
      <c r="Y34" s="188"/>
      <c r="Z34" s="188"/>
      <c r="AA34" s="188"/>
      <c r="AB34" s="188"/>
    </row>
    <row r="35" spans="1:28" x14ac:dyDescent="0.2">
      <c r="A35" s="83" t="s">
        <v>11</v>
      </c>
      <c r="B35" s="84" t="s">
        <v>47</v>
      </c>
      <c r="C35" s="80"/>
      <c r="D35" s="80"/>
      <c r="E35" s="80"/>
      <c r="F35" s="81">
        <f>+L15</f>
        <v>238087</v>
      </c>
      <c r="G35" s="82" t="s">
        <v>53</v>
      </c>
      <c r="H35" s="85" t="s">
        <v>52</v>
      </c>
      <c r="I35" s="85" t="s">
        <v>1</v>
      </c>
      <c r="J35" s="85" t="s">
        <v>2</v>
      </c>
      <c r="K35" s="86"/>
      <c r="L35" s="88" t="s">
        <v>52</v>
      </c>
      <c r="M35" s="89" t="s">
        <v>35</v>
      </c>
      <c r="N35" s="88" t="s">
        <v>1</v>
      </c>
      <c r="O35" s="89" t="s">
        <v>67</v>
      </c>
      <c r="P35" s="89" t="s">
        <v>2</v>
      </c>
      <c r="Q35" s="157" t="s">
        <v>76</v>
      </c>
      <c r="R35" s="157" t="s">
        <v>60</v>
      </c>
      <c r="S35" s="90" t="s">
        <v>9</v>
      </c>
      <c r="T35" s="91" t="s">
        <v>74</v>
      </c>
      <c r="U35" s="92" t="s">
        <v>10</v>
      </c>
      <c r="V35" s="87" t="s">
        <v>56</v>
      </c>
      <c r="W35" s="87" t="s">
        <v>57</v>
      </c>
      <c r="X35" s="122" t="s">
        <v>58</v>
      </c>
      <c r="Y35" s="122" t="s">
        <v>68</v>
      </c>
      <c r="Z35" s="122" t="s">
        <v>62</v>
      </c>
      <c r="AA35" s="122" t="s">
        <v>72</v>
      </c>
      <c r="AB35" s="122" t="s">
        <v>59</v>
      </c>
    </row>
    <row r="36" spans="1:28" x14ac:dyDescent="0.2">
      <c r="A36" s="83" t="s">
        <v>11</v>
      </c>
      <c r="B36" s="84" t="s">
        <v>13</v>
      </c>
      <c r="C36" s="84"/>
      <c r="D36" s="84"/>
      <c r="E36" s="84"/>
      <c r="F36" s="81">
        <f>+M8</f>
        <v>45237</v>
      </c>
      <c r="G36" s="86" t="s">
        <v>22</v>
      </c>
      <c r="H36" s="93">
        <v>362422</v>
      </c>
      <c r="I36" s="93">
        <f t="shared" ref="I36:I47" si="9">ROUND((H36*0.19),0)</f>
        <v>68860</v>
      </c>
      <c r="J36" s="93">
        <f>SUM(H36:I36)</f>
        <v>431282</v>
      </c>
      <c r="K36" s="86"/>
      <c r="L36" s="96">
        <v>206080</v>
      </c>
      <c r="M36" s="96">
        <v>0</v>
      </c>
      <c r="N36" s="96">
        <v>39155</v>
      </c>
      <c r="O36" s="97">
        <v>0</v>
      </c>
      <c r="P36" s="97">
        <f>SUM(L36:O36)</f>
        <v>245235</v>
      </c>
      <c r="Q36" s="158">
        <v>0</v>
      </c>
      <c r="R36" s="158">
        <v>0</v>
      </c>
      <c r="S36" s="98">
        <v>0</v>
      </c>
      <c r="T36" s="98">
        <f>+S36*0.13</f>
        <v>0</v>
      </c>
      <c r="U36" s="98">
        <f t="shared" ref="U36:U47" si="10">+S36-T36</f>
        <v>0</v>
      </c>
      <c r="V36" s="94">
        <v>0.1</v>
      </c>
      <c r="W36" s="95">
        <f t="shared" ref="W36:W47" si="11">ROUND((H36*V36),2)</f>
        <v>36242.199999999997</v>
      </c>
      <c r="X36" s="123">
        <v>0</v>
      </c>
      <c r="Y36" s="123">
        <v>0</v>
      </c>
      <c r="Z36" s="123">
        <v>48000</v>
      </c>
      <c r="AA36" s="123">
        <v>0</v>
      </c>
      <c r="AB36" s="123">
        <v>30084</v>
      </c>
    </row>
    <row r="37" spans="1:28" x14ac:dyDescent="0.2">
      <c r="A37" s="83" t="s">
        <v>11</v>
      </c>
      <c r="B37" s="99" t="s">
        <v>45</v>
      </c>
      <c r="C37" s="84"/>
      <c r="D37" s="84"/>
      <c r="E37" s="84"/>
      <c r="F37" s="100">
        <f>+M11</f>
        <v>0</v>
      </c>
      <c r="G37" s="86" t="s">
        <v>23</v>
      </c>
      <c r="H37" s="93">
        <v>727324</v>
      </c>
      <c r="I37" s="93">
        <v>138191</v>
      </c>
      <c r="J37" s="93">
        <f t="shared" ref="J37:J47" si="12">SUM(H37:I37)</f>
        <v>865515</v>
      </c>
      <c r="K37" s="86"/>
      <c r="L37" s="96">
        <v>24120</v>
      </c>
      <c r="M37" s="96">
        <v>0</v>
      </c>
      <c r="N37" s="96">
        <v>4583</v>
      </c>
      <c r="O37" s="97">
        <v>0</v>
      </c>
      <c r="P37" s="97">
        <f t="shared" ref="P37:P47" si="13">SUM(L37:O37)</f>
        <v>28703</v>
      </c>
      <c r="Q37" s="158">
        <v>0</v>
      </c>
      <c r="R37" s="158">
        <v>0</v>
      </c>
      <c r="S37" s="98">
        <v>0</v>
      </c>
      <c r="T37" s="98">
        <f t="shared" ref="T37:T47" si="14">+S37*0.13</f>
        <v>0</v>
      </c>
      <c r="U37" s="98">
        <f t="shared" si="10"/>
        <v>0</v>
      </c>
      <c r="V37" s="94">
        <v>0.1</v>
      </c>
      <c r="W37" s="95">
        <f t="shared" si="11"/>
        <v>72732.399999999994</v>
      </c>
      <c r="X37" s="123">
        <v>0</v>
      </c>
      <c r="Y37" s="123">
        <v>0</v>
      </c>
      <c r="Z37" s="123">
        <v>48000</v>
      </c>
      <c r="AA37" s="123">
        <v>0</v>
      </c>
      <c r="AB37" s="123">
        <v>0</v>
      </c>
    </row>
    <row r="38" spans="1:28" s="4" customFormat="1" x14ac:dyDescent="0.2">
      <c r="A38" s="83" t="s">
        <v>11</v>
      </c>
      <c r="B38" s="101" t="s">
        <v>64</v>
      </c>
      <c r="C38" s="101"/>
      <c r="D38" s="84"/>
      <c r="E38" s="84"/>
      <c r="F38" s="102">
        <v>0</v>
      </c>
      <c r="G38" s="86" t="s">
        <v>24</v>
      </c>
      <c r="H38" s="93">
        <v>3119121</v>
      </c>
      <c r="I38" s="93">
        <f t="shared" si="9"/>
        <v>592633</v>
      </c>
      <c r="J38" s="93">
        <f t="shared" si="12"/>
        <v>3711754</v>
      </c>
      <c r="K38" s="86"/>
      <c r="L38" s="96">
        <v>25050</v>
      </c>
      <c r="M38" s="96">
        <v>0</v>
      </c>
      <c r="N38" s="96">
        <v>4760</v>
      </c>
      <c r="O38" s="97">
        <v>0</v>
      </c>
      <c r="P38" s="97">
        <f t="shared" si="13"/>
        <v>29810</v>
      </c>
      <c r="Q38" s="158">
        <v>0</v>
      </c>
      <c r="R38" s="158">
        <v>0</v>
      </c>
      <c r="S38" s="98">
        <v>0</v>
      </c>
      <c r="T38" s="98">
        <f t="shared" si="14"/>
        <v>0</v>
      </c>
      <c r="U38" s="98">
        <f t="shared" si="10"/>
        <v>0</v>
      </c>
      <c r="V38" s="94">
        <v>0.1</v>
      </c>
      <c r="W38" s="95">
        <f t="shared" si="11"/>
        <v>311912.09999999998</v>
      </c>
      <c r="X38" s="123">
        <v>0</v>
      </c>
      <c r="Y38" s="123">
        <v>0</v>
      </c>
      <c r="Z38" s="123">
        <v>48000</v>
      </c>
      <c r="AA38" s="123">
        <v>0</v>
      </c>
      <c r="AB38" s="123">
        <v>0</v>
      </c>
    </row>
    <row r="39" spans="1:28" s="4" customFormat="1" x14ac:dyDescent="0.2">
      <c r="A39" s="83" t="s">
        <v>11</v>
      </c>
      <c r="B39" s="84" t="s">
        <v>63</v>
      </c>
      <c r="C39" s="84"/>
      <c r="D39" s="84"/>
      <c r="E39" s="84"/>
      <c r="F39" s="103">
        <f>SUM(F36:F37)</f>
        <v>45237</v>
      </c>
      <c r="G39" s="86" t="s">
        <v>25</v>
      </c>
      <c r="H39" s="93">
        <v>548065</v>
      </c>
      <c r="I39" s="93">
        <v>104133</v>
      </c>
      <c r="J39" s="93">
        <f t="shared" si="12"/>
        <v>652198</v>
      </c>
      <c r="K39" s="93"/>
      <c r="L39" s="96">
        <v>93368</v>
      </c>
      <c r="M39" s="96">
        <v>0</v>
      </c>
      <c r="N39" s="96">
        <v>18310</v>
      </c>
      <c r="O39" s="97">
        <v>0</v>
      </c>
      <c r="P39" s="97">
        <f t="shared" si="13"/>
        <v>111678</v>
      </c>
      <c r="Q39" s="158">
        <v>0</v>
      </c>
      <c r="R39" s="158">
        <v>0</v>
      </c>
      <c r="S39" s="98">
        <v>0</v>
      </c>
      <c r="T39" s="98">
        <f t="shared" si="14"/>
        <v>0</v>
      </c>
      <c r="U39" s="98">
        <f t="shared" si="10"/>
        <v>0</v>
      </c>
      <c r="V39" s="94">
        <v>0.1</v>
      </c>
      <c r="W39" s="95">
        <f t="shared" si="11"/>
        <v>54806.5</v>
      </c>
      <c r="X39" s="123">
        <v>0</v>
      </c>
      <c r="Y39" s="123">
        <v>0</v>
      </c>
      <c r="Z39" s="123">
        <v>48000</v>
      </c>
      <c r="AA39" s="123">
        <v>0</v>
      </c>
      <c r="AB39" s="123">
        <v>0</v>
      </c>
    </row>
    <row r="40" spans="1:28" s="4" customFormat="1" x14ac:dyDescent="0.2">
      <c r="A40" s="83" t="s">
        <v>11</v>
      </c>
      <c r="B40" s="99" t="s">
        <v>14</v>
      </c>
      <c r="C40" s="84"/>
      <c r="D40" s="84"/>
      <c r="E40" s="84"/>
      <c r="F40" s="100">
        <f>-N22</f>
        <v>-21163</v>
      </c>
      <c r="G40" s="86" t="s">
        <v>26</v>
      </c>
      <c r="H40" s="93">
        <v>238087</v>
      </c>
      <c r="I40" s="93">
        <f t="shared" si="9"/>
        <v>45237</v>
      </c>
      <c r="J40" s="93">
        <f t="shared" si="12"/>
        <v>283324</v>
      </c>
      <c r="K40" s="93"/>
      <c r="L40" s="96">
        <v>111383</v>
      </c>
      <c r="M40" s="96">
        <v>0</v>
      </c>
      <c r="N40" s="96">
        <v>21163</v>
      </c>
      <c r="O40" s="97">
        <v>0</v>
      </c>
      <c r="P40" s="97">
        <f t="shared" si="13"/>
        <v>132546</v>
      </c>
      <c r="Q40" s="158">
        <v>0</v>
      </c>
      <c r="R40" s="158">
        <v>0</v>
      </c>
      <c r="S40" s="98">
        <v>0</v>
      </c>
      <c r="T40" s="98">
        <f t="shared" si="14"/>
        <v>0</v>
      </c>
      <c r="U40" s="98">
        <f t="shared" si="10"/>
        <v>0</v>
      </c>
      <c r="V40" s="94">
        <v>0.1</v>
      </c>
      <c r="W40" s="95">
        <f t="shared" si="11"/>
        <v>23808.7</v>
      </c>
      <c r="X40" s="123">
        <v>0</v>
      </c>
      <c r="Y40" s="123">
        <v>0</v>
      </c>
      <c r="Z40" s="123">
        <v>48000</v>
      </c>
      <c r="AA40" s="123">
        <v>0</v>
      </c>
      <c r="AB40" s="123">
        <v>0</v>
      </c>
    </row>
    <row r="41" spans="1:28" s="4" customFormat="1" x14ac:dyDescent="0.2">
      <c r="A41" s="83" t="s">
        <v>11</v>
      </c>
      <c r="B41" s="84" t="s">
        <v>46</v>
      </c>
      <c r="C41" s="84"/>
      <c r="D41" s="84"/>
      <c r="E41" s="84"/>
      <c r="F41" s="81">
        <f>-N25</f>
        <v>0</v>
      </c>
      <c r="G41" s="86" t="s">
        <v>27</v>
      </c>
      <c r="H41" s="93">
        <v>0</v>
      </c>
      <c r="I41" s="93">
        <f t="shared" si="9"/>
        <v>0</v>
      </c>
      <c r="J41" s="93">
        <f t="shared" si="12"/>
        <v>0</v>
      </c>
      <c r="K41" s="93"/>
      <c r="L41" s="96">
        <v>0</v>
      </c>
      <c r="M41" s="96">
        <v>0</v>
      </c>
      <c r="N41" s="96">
        <v>0</v>
      </c>
      <c r="O41" s="97">
        <v>0</v>
      </c>
      <c r="P41" s="97">
        <f t="shared" si="13"/>
        <v>0</v>
      </c>
      <c r="Q41" s="158">
        <v>0</v>
      </c>
      <c r="R41" s="158">
        <v>0</v>
      </c>
      <c r="S41" s="98">
        <v>0</v>
      </c>
      <c r="T41" s="98">
        <f t="shared" si="14"/>
        <v>0</v>
      </c>
      <c r="U41" s="98">
        <f t="shared" si="10"/>
        <v>0</v>
      </c>
      <c r="V41" s="94"/>
      <c r="W41" s="95">
        <f t="shared" si="11"/>
        <v>0</v>
      </c>
      <c r="X41" s="123">
        <v>0</v>
      </c>
      <c r="Y41" s="123">
        <v>0</v>
      </c>
      <c r="Z41" s="123">
        <v>0</v>
      </c>
      <c r="AA41" s="123">
        <v>0</v>
      </c>
      <c r="AB41" s="123">
        <v>0</v>
      </c>
    </row>
    <row r="42" spans="1:28" s="4" customFormat="1" x14ac:dyDescent="0.2">
      <c r="A42" s="83" t="s">
        <v>11</v>
      </c>
      <c r="B42" s="84" t="s">
        <v>15</v>
      </c>
      <c r="C42" s="84"/>
      <c r="D42" s="84"/>
      <c r="E42" s="84"/>
      <c r="F42" s="81">
        <f>SUM(F39:F41)</f>
        <v>24074</v>
      </c>
      <c r="G42" s="86" t="s">
        <v>28</v>
      </c>
      <c r="H42" s="93">
        <v>0</v>
      </c>
      <c r="I42" s="93">
        <f t="shared" si="9"/>
        <v>0</v>
      </c>
      <c r="J42" s="93">
        <f t="shared" si="12"/>
        <v>0</v>
      </c>
      <c r="K42" s="93"/>
      <c r="L42" s="96">
        <v>0</v>
      </c>
      <c r="M42" s="96">
        <v>0</v>
      </c>
      <c r="N42" s="96">
        <v>0</v>
      </c>
      <c r="O42" s="97">
        <v>0</v>
      </c>
      <c r="P42" s="97">
        <f t="shared" si="13"/>
        <v>0</v>
      </c>
      <c r="Q42" s="158">
        <v>0</v>
      </c>
      <c r="R42" s="158">
        <v>0</v>
      </c>
      <c r="S42" s="98">
        <v>0</v>
      </c>
      <c r="T42" s="98">
        <f t="shared" si="14"/>
        <v>0</v>
      </c>
      <c r="U42" s="98">
        <f t="shared" si="10"/>
        <v>0</v>
      </c>
      <c r="V42" s="94"/>
      <c r="W42" s="95">
        <f t="shared" si="11"/>
        <v>0</v>
      </c>
      <c r="X42" s="123">
        <v>0</v>
      </c>
      <c r="Y42" s="123">
        <v>0</v>
      </c>
      <c r="Z42" s="123">
        <v>0</v>
      </c>
      <c r="AA42" s="123">
        <v>0</v>
      </c>
      <c r="AB42" s="123">
        <v>0</v>
      </c>
    </row>
    <row r="43" spans="1:28" s="4" customFormat="1" x14ac:dyDescent="0.2">
      <c r="A43" s="83" t="s">
        <v>11</v>
      </c>
      <c r="B43" s="84" t="s">
        <v>34</v>
      </c>
      <c r="C43" s="84"/>
      <c r="D43" s="84"/>
      <c r="E43" s="84"/>
      <c r="F43" s="81">
        <f>+M32</f>
        <v>0</v>
      </c>
      <c r="G43" s="86" t="s">
        <v>29</v>
      </c>
      <c r="H43" s="93">
        <v>0</v>
      </c>
      <c r="I43" s="93">
        <f t="shared" si="9"/>
        <v>0</v>
      </c>
      <c r="J43" s="93">
        <f t="shared" si="12"/>
        <v>0</v>
      </c>
      <c r="K43" s="93"/>
      <c r="L43" s="96">
        <v>0</v>
      </c>
      <c r="M43" s="96">
        <v>0</v>
      </c>
      <c r="N43" s="96">
        <v>0</v>
      </c>
      <c r="O43" s="97">
        <v>0</v>
      </c>
      <c r="P43" s="97">
        <f t="shared" si="13"/>
        <v>0</v>
      </c>
      <c r="Q43" s="158">
        <v>0</v>
      </c>
      <c r="R43" s="158">
        <v>0</v>
      </c>
      <c r="S43" s="98">
        <v>0</v>
      </c>
      <c r="T43" s="98">
        <f t="shared" si="14"/>
        <v>0</v>
      </c>
      <c r="U43" s="98">
        <f t="shared" si="10"/>
        <v>0</v>
      </c>
      <c r="V43" s="94"/>
      <c r="W43" s="95">
        <f t="shared" si="11"/>
        <v>0</v>
      </c>
      <c r="X43" s="123">
        <v>0</v>
      </c>
      <c r="Y43" s="123">
        <v>0</v>
      </c>
      <c r="Z43" s="123">
        <v>0</v>
      </c>
      <c r="AA43" s="123">
        <v>0</v>
      </c>
      <c r="AB43" s="123">
        <v>0</v>
      </c>
    </row>
    <row r="44" spans="1:28" s="4" customFormat="1" x14ac:dyDescent="0.2">
      <c r="A44" s="83" t="s">
        <v>11</v>
      </c>
      <c r="B44" s="84" t="s">
        <v>12</v>
      </c>
      <c r="C44" s="84"/>
      <c r="D44" s="104">
        <v>0.1</v>
      </c>
      <c r="E44" s="84"/>
      <c r="F44" s="81">
        <f>ROUND((L15*D44),0)</f>
        <v>23809</v>
      </c>
      <c r="G44" s="86" t="s">
        <v>30</v>
      </c>
      <c r="H44" s="93">
        <v>0</v>
      </c>
      <c r="I44" s="93">
        <f t="shared" si="9"/>
        <v>0</v>
      </c>
      <c r="J44" s="93">
        <f t="shared" si="12"/>
        <v>0</v>
      </c>
      <c r="K44" s="93"/>
      <c r="L44" s="96">
        <v>0</v>
      </c>
      <c r="M44" s="96">
        <v>0</v>
      </c>
      <c r="N44" s="96">
        <v>0</v>
      </c>
      <c r="O44" s="97">
        <v>0</v>
      </c>
      <c r="P44" s="97">
        <f t="shared" si="13"/>
        <v>0</v>
      </c>
      <c r="Q44" s="158">
        <v>0</v>
      </c>
      <c r="R44" s="158">
        <v>0</v>
      </c>
      <c r="S44" s="98">
        <v>0</v>
      </c>
      <c r="T44" s="98">
        <f t="shared" si="14"/>
        <v>0</v>
      </c>
      <c r="U44" s="98">
        <f t="shared" si="10"/>
        <v>0</v>
      </c>
      <c r="V44" s="94"/>
      <c r="W44" s="95">
        <f t="shared" si="11"/>
        <v>0</v>
      </c>
      <c r="X44" s="123">
        <v>0</v>
      </c>
      <c r="Y44" s="123">
        <v>0</v>
      </c>
      <c r="Z44" s="123">
        <v>0</v>
      </c>
      <c r="AA44" s="123">
        <v>0</v>
      </c>
      <c r="AB44" s="123">
        <v>0</v>
      </c>
    </row>
    <row r="45" spans="1:28" s="4" customFormat="1" x14ac:dyDescent="0.2">
      <c r="A45" s="83" t="s">
        <v>11</v>
      </c>
      <c r="B45" s="105" t="s">
        <v>66</v>
      </c>
      <c r="C45" s="106"/>
      <c r="D45" s="106"/>
      <c r="E45" s="84"/>
      <c r="F45" s="107">
        <v>0</v>
      </c>
      <c r="G45" s="86" t="s">
        <v>31</v>
      </c>
      <c r="H45" s="93">
        <v>0</v>
      </c>
      <c r="I45" s="93">
        <f t="shared" si="9"/>
        <v>0</v>
      </c>
      <c r="J45" s="93">
        <f t="shared" si="12"/>
        <v>0</v>
      </c>
      <c r="K45" s="93"/>
      <c r="L45" s="96">
        <v>0</v>
      </c>
      <c r="M45" s="96">
        <v>0</v>
      </c>
      <c r="N45" s="96">
        <v>0</v>
      </c>
      <c r="O45" s="97">
        <v>0</v>
      </c>
      <c r="P45" s="97">
        <f t="shared" si="13"/>
        <v>0</v>
      </c>
      <c r="Q45" s="158">
        <v>0</v>
      </c>
      <c r="R45" s="158">
        <v>0</v>
      </c>
      <c r="S45" s="98">
        <v>0</v>
      </c>
      <c r="T45" s="98">
        <f t="shared" si="14"/>
        <v>0</v>
      </c>
      <c r="U45" s="98">
        <f t="shared" si="10"/>
        <v>0</v>
      </c>
      <c r="V45" s="94"/>
      <c r="W45" s="95">
        <f t="shared" si="11"/>
        <v>0</v>
      </c>
      <c r="X45" s="123">
        <v>0</v>
      </c>
      <c r="Y45" s="123">
        <v>0</v>
      </c>
      <c r="Z45" s="123">
        <v>0</v>
      </c>
      <c r="AA45" s="123">
        <v>0</v>
      </c>
      <c r="AB45" s="123">
        <v>0</v>
      </c>
    </row>
    <row r="46" spans="1:28" s="4" customFormat="1" x14ac:dyDescent="0.2">
      <c r="A46" s="83" t="s">
        <v>11</v>
      </c>
      <c r="B46" s="106" t="s">
        <v>19</v>
      </c>
      <c r="C46" s="106"/>
      <c r="D46" s="106"/>
      <c r="E46" s="84"/>
      <c r="F46" s="108">
        <f>SUM(F42:F44)</f>
        <v>47883</v>
      </c>
      <c r="G46" s="86" t="s">
        <v>32</v>
      </c>
      <c r="H46" s="93">
        <v>0</v>
      </c>
      <c r="I46" s="93">
        <f t="shared" si="9"/>
        <v>0</v>
      </c>
      <c r="J46" s="93">
        <f t="shared" si="12"/>
        <v>0</v>
      </c>
      <c r="K46" s="93"/>
      <c r="L46" s="96">
        <v>0</v>
      </c>
      <c r="M46" s="96">
        <v>0</v>
      </c>
      <c r="N46" s="96">
        <v>0</v>
      </c>
      <c r="O46" s="97">
        <v>0</v>
      </c>
      <c r="P46" s="97">
        <f t="shared" si="13"/>
        <v>0</v>
      </c>
      <c r="Q46" s="158">
        <v>0</v>
      </c>
      <c r="R46" s="158">
        <v>0</v>
      </c>
      <c r="S46" s="98">
        <v>0</v>
      </c>
      <c r="T46" s="98">
        <f t="shared" si="14"/>
        <v>0</v>
      </c>
      <c r="U46" s="98">
        <f t="shared" si="10"/>
        <v>0</v>
      </c>
      <c r="V46" s="94"/>
      <c r="W46" s="95">
        <f t="shared" si="11"/>
        <v>0</v>
      </c>
      <c r="X46" s="123">
        <v>0</v>
      </c>
      <c r="Y46" s="123">
        <v>0</v>
      </c>
      <c r="Z46" s="123">
        <v>0</v>
      </c>
      <c r="AA46" s="123">
        <v>0</v>
      </c>
      <c r="AB46" s="123">
        <v>0</v>
      </c>
    </row>
    <row r="47" spans="1:28" s="4" customFormat="1" x14ac:dyDescent="0.2">
      <c r="A47" s="109" t="s">
        <v>20</v>
      </c>
      <c r="B47" s="110"/>
      <c r="C47" s="110"/>
      <c r="D47" s="110"/>
      <c r="E47" s="110"/>
      <c r="F47" s="111">
        <f>+F42+F44</f>
        <v>47883</v>
      </c>
      <c r="G47" s="86" t="s">
        <v>33</v>
      </c>
      <c r="H47" s="93">
        <v>0</v>
      </c>
      <c r="I47" s="93">
        <f t="shared" si="9"/>
        <v>0</v>
      </c>
      <c r="J47" s="93">
        <f t="shared" si="12"/>
        <v>0</v>
      </c>
      <c r="K47" s="93"/>
      <c r="L47" s="96">
        <v>0</v>
      </c>
      <c r="M47" s="96">
        <v>0</v>
      </c>
      <c r="N47" s="96">
        <v>0</v>
      </c>
      <c r="O47" s="97">
        <v>0</v>
      </c>
      <c r="P47" s="97">
        <f t="shared" si="13"/>
        <v>0</v>
      </c>
      <c r="Q47" s="158">
        <v>0</v>
      </c>
      <c r="R47" s="158">
        <v>0</v>
      </c>
      <c r="S47" s="98">
        <v>0</v>
      </c>
      <c r="T47" s="98">
        <f t="shared" si="14"/>
        <v>0</v>
      </c>
      <c r="U47" s="98">
        <f t="shared" si="10"/>
        <v>0</v>
      </c>
      <c r="V47" s="94"/>
      <c r="W47" s="95">
        <f t="shared" si="11"/>
        <v>0</v>
      </c>
      <c r="X47" s="123">
        <v>0</v>
      </c>
      <c r="Y47" s="123">
        <v>0</v>
      </c>
      <c r="Z47" s="123">
        <v>0</v>
      </c>
      <c r="AA47" s="123">
        <v>0</v>
      </c>
      <c r="AB47" s="123">
        <v>0</v>
      </c>
    </row>
    <row r="48" spans="1:28" s="4" customFormat="1" x14ac:dyDescent="0.2">
      <c r="A48" s="109" t="s">
        <v>21</v>
      </c>
      <c r="B48" s="110"/>
      <c r="C48" s="110"/>
      <c r="D48" s="110"/>
      <c r="E48" s="110"/>
      <c r="F48" s="112">
        <f>+F47/L15</f>
        <v>0.2011155585983275</v>
      </c>
      <c r="G48" s="113" t="s">
        <v>36</v>
      </c>
      <c r="H48" s="114">
        <f>SUM(H36:H47)</f>
        <v>4995019</v>
      </c>
      <c r="I48" s="114">
        <f>SUM(I36:I47)</f>
        <v>949054</v>
      </c>
      <c r="J48" s="114">
        <f>SUM(J36:J47)</f>
        <v>5944073</v>
      </c>
      <c r="K48" s="93"/>
      <c r="L48" s="116">
        <f>SUM(L36:L47)</f>
        <v>460001</v>
      </c>
      <c r="M48" s="116">
        <f t="shared" ref="M48:P48" si="15">SUM(M36:M47)</f>
        <v>0</v>
      </c>
      <c r="N48" s="116">
        <f t="shared" si="15"/>
        <v>87971</v>
      </c>
      <c r="O48" s="116">
        <f t="shared" si="15"/>
        <v>0</v>
      </c>
      <c r="P48" s="116">
        <f t="shared" si="15"/>
        <v>547972</v>
      </c>
      <c r="Q48" s="159">
        <f>SUM(Q36:Q47)</f>
        <v>0</v>
      </c>
      <c r="R48" s="159">
        <f>SUM(R36:R47)</f>
        <v>0</v>
      </c>
      <c r="S48" s="117">
        <f>SUM(S36:S47)</f>
        <v>0</v>
      </c>
      <c r="T48" s="117">
        <f t="shared" ref="T48:U48" si="16">SUM(T36:T47)</f>
        <v>0</v>
      </c>
      <c r="U48" s="117">
        <f t="shared" si="16"/>
        <v>0</v>
      </c>
      <c r="V48" s="144">
        <f>SUM(V36:V47)</f>
        <v>0.5</v>
      </c>
      <c r="W48" s="115">
        <f>SUM(W36:W47)</f>
        <v>499501.89999999997</v>
      </c>
      <c r="X48" s="124">
        <f>SUM(X36:X47)</f>
        <v>0</v>
      </c>
      <c r="Y48" s="124">
        <f t="shared" ref="Y48:AB48" si="17">SUM(Y36:Y47)</f>
        <v>0</v>
      </c>
      <c r="Z48" s="124">
        <f t="shared" si="17"/>
        <v>240000</v>
      </c>
      <c r="AA48" s="124">
        <f>SUM(AA36:AA47)</f>
        <v>0</v>
      </c>
      <c r="AB48" s="124">
        <f t="shared" si="17"/>
        <v>30084</v>
      </c>
    </row>
    <row r="49" spans="1:35" s="4" customFormat="1" x14ac:dyDescent="0.2">
      <c r="A49" s="118" t="s">
        <v>125</v>
      </c>
      <c r="B49" s="119"/>
      <c r="C49" s="119"/>
      <c r="D49" s="119"/>
      <c r="E49" s="119"/>
      <c r="F49" s="120">
        <f>+F42/L15</f>
        <v>0.10111429855472999</v>
      </c>
      <c r="G49" s="145" t="s">
        <v>54</v>
      </c>
      <c r="H49" s="146">
        <f>+H48/5</f>
        <v>999003.8</v>
      </c>
      <c r="I49" s="146">
        <f>+I48/5</f>
        <v>189810.8</v>
      </c>
      <c r="J49" s="146">
        <f>+J48/5</f>
        <v>1188814.6000000001</v>
      </c>
      <c r="K49" s="145"/>
      <c r="L49" s="149">
        <f t="shared" ref="L49:AB49" si="18">+L48/5</f>
        <v>92000.2</v>
      </c>
      <c r="M49" s="149">
        <f t="shared" si="18"/>
        <v>0</v>
      </c>
      <c r="N49" s="149">
        <f t="shared" si="18"/>
        <v>17594.2</v>
      </c>
      <c r="O49" s="149">
        <f t="shared" si="18"/>
        <v>0</v>
      </c>
      <c r="P49" s="149">
        <f t="shared" si="18"/>
        <v>109594.4</v>
      </c>
      <c r="Q49" s="160">
        <f t="shared" si="18"/>
        <v>0</v>
      </c>
      <c r="R49" s="160">
        <f t="shared" si="18"/>
        <v>0</v>
      </c>
      <c r="S49" s="150">
        <f t="shared" si="18"/>
        <v>0</v>
      </c>
      <c r="T49" s="150">
        <f t="shared" si="18"/>
        <v>0</v>
      </c>
      <c r="U49" s="150">
        <f t="shared" si="18"/>
        <v>0</v>
      </c>
      <c r="V49" s="147">
        <f t="shared" si="18"/>
        <v>0.1</v>
      </c>
      <c r="W49" s="148">
        <f t="shared" si="18"/>
        <v>99900.37999999999</v>
      </c>
      <c r="X49" s="151">
        <f t="shared" si="18"/>
        <v>0</v>
      </c>
      <c r="Y49" s="151">
        <f t="shared" si="18"/>
        <v>0</v>
      </c>
      <c r="Z49" s="151">
        <f t="shared" si="18"/>
        <v>48000</v>
      </c>
      <c r="AA49" s="151">
        <f t="shared" si="18"/>
        <v>0</v>
      </c>
      <c r="AB49" s="151">
        <f t="shared" si="18"/>
        <v>6016.8</v>
      </c>
    </row>
    <row r="50" spans="1:35" s="4" customFormat="1" x14ac:dyDescent="0.2">
      <c r="A50" s="2"/>
      <c r="B50" s="2"/>
      <c r="C50" s="2"/>
      <c r="D50" s="2"/>
      <c r="E50" s="2"/>
      <c r="F50" s="2"/>
      <c r="G50" s="2"/>
      <c r="Q50" s="2"/>
      <c r="R50" s="2"/>
      <c r="T50" s="2"/>
      <c r="U50" s="2"/>
    </row>
    <row r="51" spans="1:35" x14ac:dyDescent="0.2">
      <c r="X51" s="121"/>
      <c r="AB51" s="121"/>
      <c r="AD51" s="4"/>
      <c r="AF51" s="121"/>
      <c r="AI51" s="121">
        <v>-4.5</v>
      </c>
    </row>
    <row r="52" spans="1:35" x14ac:dyDescent="0.2">
      <c r="AD52" s="4"/>
    </row>
  </sheetData>
  <mergeCells count="12">
    <mergeCell ref="X34:AB34"/>
    <mergeCell ref="B3:D3"/>
    <mergeCell ref="E3:F3"/>
    <mergeCell ref="E4:F4"/>
    <mergeCell ref="E18:F18"/>
    <mergeCell ref="E29:F29"/>
    <mergeCell ref="A34:F34"/>
    <mergeCell ref="G34:K34"/>
    <mergeCell ref="L34:P34"/>
    <mergeCell ref="Q34:R34"/>
    <mergeCell ref="S34:U34"/>
    <mergeCell ref="V34:W34"/>
  </mergeCells>
  <pageMargins left="0.7" right="0.7" top="0.75" bottom="0.75" header="0.3" footer="0.3"/>
  <pageSetup orientation="portrait" horizontalDpi="200" verticalDpi="200" r:id="rId1"/>
  <ignoredErrors>
    <ignoredError sqref="M8:N11 N26" formula="1"/>
    <ignoredError sqref="P19:P21 P23" formulaRange="1"/>
    <ignoredError sqref="P22" formula="1" formulaRange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C082A-DC70-4339-B7BE-CB9D4805F338}">
  <dimension ref="A1:AK52"/>
  <sheetViews>
    <sheetView zoomScale="117" zoomScaleNormal="117" workbookViewId="0">
      <pane ySplit="4" topLeftCell="A12" activePane="bottomLeft" state="frozen"/>
      <selection pane="bottomLeft" activeCell="N49" sqref="N49"/>
    </sheetView>
  </sheetViews>
  <sheetFormatPr baseColWidth="10" defaultColWidth="11.42578125" defaultRowHeight="11.25" x14ac:dyDescent="0.2"/>
  <cols>
    <col min="1" max="3" width="3.7109375" style="2" customWidth="1"/>
    <col min="4" max="4" width="5.7109375" style="2" customWidth="1"/>
    <col min="5" max="5" width="3.7109375" style="2" customWidth="1"/>
    <col min="6" max="10" width="9.28515625" style="2" customWidth="1"/>
    <col min="11" max="11" width="1.7109375" style="2" customWidth="1"/>
    <col min="12" max="17" width="9.28515625" style="2" customWidth="1"/>
    <col min="18" max="18" width="9.28515625" style="4" customWidth="1"/>
    <col min="19" max="28" width="9.28515625" style="2" customWidth="1"/>
    <col min="29" max="16384" width="11.42578125" style="2"/>
  </cols>
  <sheetData>
    <row r="1" spans="1:28" s="4" customFormat="1" x14ac:dyDescent="0.2">
      <c r="A1" s="174" t="s">
        <v>105</v>
      </c>
      <c r="B1" s="175"/>
      <c r="C1" s="175"/>
      <c r="D1" s="175"/>
      <c r="E1" s="176"/>
      <c r="F1" s="176"/>
      <c r="G1" s="37" t="s">
        <v>44</v>
      </c>
      <c r="H1" s="50"/>
      <c r="I1" s="176"/>
      <c r="J1" s="176"/>
      <c r="K1" s="177"/>
      <c r="L1" s="176"/>
      <c r="M1" s="178" t="s">
        <v>101</v>
      </c>
      <c r="N1" s="177">
        <v>2023</v>
      </c>
      <c r="O1" s="3"/>
      <c r="P1" s="3"/>
      <c r="Q1" s="3"/>
    </row>
    <row r="2" spans="1:28" s="4" customFormat="1" x14ac:dyDescent="0.2">
      <c r="A2" s="5" t="s">
        <v>3</v>
      </c>
      <c r="B2" s="6"/>
      <c r="C2" s="6"/>
      <c r="D2" s="6"/>
      <c r="E2" s="6"/>
      <c r="F2" s="7"/>
      <c r="G2" s="2"/>
      <c r="H2" s="2"/>
      <c r="I2" s="2"/>
      <c r="J2" s="8"/>
      <c r="K2" s="8"/>
      <c r="L2" s="3"/>
      <c r="M2" s="3"/>
      <c r="N2" s="3"/>
      <c r="O2" s="3"/>
      <c r="P2" s="3"/>
      <c r="Q2" s="3"/>
    </row>
    <row r="3" spans="1:28" s="4" customFormat="1" x14ac:dyDescent="0.2">
      <c r="A3" s="9" t="s">
        <v>41</v>
      </c>
      <c r="B3" s="189" t="s">
        <v>40</v>
      </c>
      <c r="C3" s="189"/>
      <c r="D3" s="189"/>
      <c r="E3" s="190" t="s">
        <v>82</v>
      </c>
      <c r="F3" s="190"/>
      <c r="G3" s="10"/>
      <c r="H3" s="10"/>
      <c r="I3" s="10"/>
      <c r="J3" s="10"/>
      <c r="K3" s="10"/>
      <c r="L3" s="11"/>
      <c r="M3" s="11"/>
      <c r="N3" s="11"/>
      <c r="O3" s="11"/>
      <c r="P3" s="11"/>
      <c r="Q3" s="11"/>
    </row>
    <row r="4" spans="1:28" s="4" customFormat="1" x14ac:dyDescent="0.2">
      <c r="A4" s="9" t="s">
        <v>42</v>
      </c>
      <c r="B4" s="12" t="s">
        <v>37</v>
      </c>
      <c r="C4" s="12" t="s">
        <v>38</v>
      </c>
      <c r="D4" s="12" t="s">
        <v>39</v>
      </c>
      <c r="E4" s="190" t="s">
        <v>81</v>
      </c>
      <c r="F4" s="190"/>
      <c r="G4" s="9"/>
      <c r="H4" s="9" t="s">
        <v>0</v>
      </c>
      <c r="I4" s="9"/>
      <c r="J4" s="9" t="s">
        <v>5</v>
      </c>
      <c r="K4" s="9"/>
      <c r="L4" s="9" t="s">
        <v>52</v>
      </c>
      <c r="M4" s="9" t="s">
        <v>1</v>
      </c>
      <c r="N4" s="9" t="s">
        <v>2</v>
      </c>
      <c r="O4" s="2"/>
      <c r="P4" s="2"/>
      <c r="Q4" s="2"/>
    </row>
    <row r="5" spans="1:28" s="4" customFormat="1" x14ac:dyDescent="0.2">
      <c r="A5" s="13">
        <v>1</v>
      </c>
      <c r="B5" s="13">
        <v>6</v>
      </c>
      <c r="C5" s="13">
        <v>4</v>
      </c>
      <c r="D5" s="14">
        <v>2023</v>
      </c>
      <c r="E5" s="14" t="s">
        <v>77</v>
      </c>
      <c r="F5" s="167">
        <v>25</v>
      </c>
      <c r="G5" s="15" t="s">
        <v>96</v>
      </c>
      <c r="H5" s="15"/>
      <c r="I5" s="15"/>
      <c r="J5" s="168">
        <v>76743492</v>
      </c>
      <c r="K5" s="14">
        <v>8</v>
      </c>
      <c r="L5" s="16">
        <v>82373</v>
      </c>
      <c r="M5" s="16">
        <f t="shared" ref="M5:M8" si="0">ROUND((L5*19%),0)</f>
        <v>15651</v>
      </c>
      <c r="N5" s="16">
        <f>ROUND((L5+M5),0)</f>
        <v>98024</v>
      </c>
      <c r="O5" s="2"/>
      <c r="P5" s="2"/>
      <c r="Q5" s="2"/>
    </row>
    <row r="6" spans="1:28" s="4" customFormat="1" x14ac:dyDescent="0.2">
      <c r="A6" s="13">
        <v>2</v>
      </c>
      <c r="B6" s="13">
        <v>6</v>
      </c>
      <c r="C6" s="13">
        <v>4</v>
      </c>
      <c r="D6" s="14">
        <v>2023</v>
      </c>
      <c r="E6" s="14" t="s">
        <v>77</v>
      </c>
      <c r="F6" s="167">
        <v>26</v>
      </c>
      <c r="G6" s="15" t="s">
        <v>96</v>
      </c>
      <c r="H6" s="15"/>
      <c r="I6" s="15"/>
      <c r="J6" s="168">
        <v>76743492</v>
      </c>
      <c r="K6" s="14">
        <v>8</v>
      </c>
      <c r="L6" s="16">
        <v>16577</v>
      </c>
      <c r="M6" s="16">
        <f t="shared" si="0"/>
        <v>3150</v>
      </c>
      <c r="N6" s="16">
        <f t="shared" ref="N6:N8" si="1">ROUND((L6+M6),0)</f>
        <v>19727</v>
      </c>
      <c r="O6" s="2"/>
      <c r="P6" s="2"/>
      <c r="Q6" s="2"/>
    </row>
    <row r="7" spans="1:28" s="4" customFormat="1" x14ac:dyDescent="0.2">
      <c r="A7" s="13">
        <v>3</v>
      </c>
      <c r="B7" s="13">
        <v>12</v>
      </c>
      <c r="C7" s="13">
        <v>4</v>
      </c>
      <c r="D7" s="14">
        <v>2023</v>
      </c>
      <c r="E7" s="14" t="s">
        <v>77</v>
      </c>
      <c r="F7" s="167">
        <v>27</v>
      </c>
      <c r="G7" s="15" t="s">
        <v>93</v>
      </c>
      <c r="H7" s="15"/>
      <c r="I7" s="15"/>
      <c r="J7" s="168">
        <v>99147000</v>
      </c>
      <c r="K7" s="14" t="s">
        <v>94</v>
      </c>
      <c r="L7" s="16">
        <v>280654</v>
      </c>
      <c r="M7" s="16">
        <f t="shared" si="0"/>
        <v>53324</v>
      </c>
      <c r="N7" s="16">
        <f t="shared" si="1"/>
        <v>333978</v>
      </c>
      <c r="O7" s="2"/>
      <c r="P7" s="2"/>
      <c r="Q7" s="2"/>
      <c r="R7" s="161"/>
      <c r="S7" s="162"/>
      <c r="T7" s="162"/>
      <c r="U7" s="162"/>
      <c r="V7" s="8"/>
    </row>
    <row r="8" spans="1:28" s="4" customFormat="1" x14ac:dyDescent="0.2">
      <c r="A8" s="13">
        <v>4</v>
      </c>
      <c r="B8" s="13">
        <v>21</v>
      </c>
      <c r="C8" s="13">
        <v>4</v>
      </c>
      <c r="D8" s="14">
        <v>2023</v>
      </c>
      <c r="E8" s="14" t="s">
        <v>77</v>
      </c>
      <c r="F8" s="167">
        <v>28</v>
      </c>
      <c r="G8" s="15" t="s">
        <v>96</v>
      </c>
      <c r="H8" s="15"/>
      <c r="I8" s="15"/>
      <c r="J8" s="168">
        <v>76743492</v>
      </c>
      <c r="K8" s="14">
        <v>8</v>
      </c>
      <c r="L8" s="16">
        <v>168461</v>
      </c>
      <c r="M8" s="16">
        <f t="shared" si="0"/>
        <v>32008</v>
      </c>
      <c r="N8" s="16">
        <f t="shared" si="1"/>
        <v>200469</v>
      </c>
      <c r="O8" s="2"/>
      <c r="P8" s="2"/>
      <c r="Q8" s="2"/>
      <c r="R8" s="8"/>
      <c r="S8" s="2"/>
      <c r="T8" s="163"/>
      <c r="U8" s="2"/>
      <c r="V8" s="164"/>
      <c r="W8" s="8"/>
      <c r="X8" s="165"/>
      <c r="Y8" s="165"/>
      <c r="Z8" s="54"/>
      <c r="AA8" s="165"/>
      <c r="AB8" s="165"/>
    </row>
    <row r="9" spans="1:28" s="4" customFormat="1" x14ac:dyDescent="0.2">
      <c r="A9" s="1" t="s">
        <v>51</v>
      </c>
      <c r="B9" s="17"/>
      <c r="C9" s="17"/>
      <c r="D9" s="18"/>
      <c r="E9" s="18"/>
      <c r="F9" s="19"/>
      <c r="G9" s="20"/>
      <c r="H9" s="20"/>
      <c r="I9" s="20"/>
      <c r="J9" s="18"/>
      <c r="K9" s="18"/>
      <c r="L9" s="21">
        <f>SUM(L5:L8)</f>
        <v>548065</v>
      </c>
      <c r="M9" s="21">
        <f>SUM(M5:M8)</f>
        <v>104133</v>
      </c>
      <c r="N9" s="21">
        <f>SUM(N5:N8)</f>
        <v>652198</v>
      </c>
      <c r="O9" s="2"/>
      <c r="P9" s="2"/>
    </row>
    <row r="10" spans="1:28" s="4" customFormat="1" x14ac:dyDescent="0.2">
      <c r="A10" s="22">
        <v>1</v>
      </c>
      <c r="B10" s="22"/>
      <c r="C10" s="22">
        <v>4</v>
      </c>
      <c r="D10" s="23">
        <v>2023</v>
      </c>
      <c r="E10" s="23" t="s">
        <v>78</v>
      </c>
      <c r="F10" s="22"/>
      <c r="G10" s="24"/>
      <c r="H10" s="24"/>
      <c r="I10" s="24"/>
      <c r="J10" s="169"/>
      <c r="K10" s="23"/>
      <c r="L10" s="170"/>
      <c r="M10" s="25">
        <f t="shared" ref="M10:M11" si="2">ROUND((L10*19%),0)</f>
        <v>0</v>
      </c>
      <c r="N10" s="25">
        <f>ROUND((L10+M10),0)</f>
        <v>0</v>
      </c>
      <c r="O10" s="2"/>
      <c r="P10" s="2"/>
      <c r="Q10" s="2"/>
    </row>
    <row r="11" spans="1:28" s="4" customFormat="1" x14ac:dyDescent="0.2">
      <c r="A11" s="22">
        <v>2</v>
      </c>
      <c r="B11" s="22"/>
      <c r="C11" s="22">
        <v>4</v>
      </c>
      <c r="D11" s="23">
        <v>2023</v>
      </c>
      <c r="E11" s="23" t="s">
        <v>78</v>
      </c>
      <c r="F11" s="22"/>
      <c r="G11" s="24"/>
      <c r="H11" s="24"/>
      <c r="I11" s="24"/>
      <c r="J11" s="169"/>
      <c r="K11" s="23"/>
      <c r="L11" s="170"/>
      <c r="M11" s="25">
        <f t="shared" si="2"/>
        <v>0</v>
      </c>
      <c r="N11" s="25">
        <f t="shared" ref="N11" si="3">ROUND((L11+M11),0)</f>
        <v>0</v>
      </c>
      <c r="O11" s="2"/>
      <c r="P11" s="2"/>
      <c r="Q11" s="2"/>
    </row>
    <row r="12" spans="1:28" s="4" customFormat="1" x14ac:dyDescent="0.2">
      <c r="A12" s="26" t="s">
        <v>50</v>
      </c>
      <c r="B12" s="27"/>
      <c r="C12" s="27"/>
      <c r="D12" s="28"/>
      <c r="E12" s="28"/>
      <c r="F12" s="29"/>
      <c r="G12" s="30"/>
      <c r="H12" s="30"/>
      <c r="I12" s="30"/>
      <c r="J12" s="28"/>
      <c r="K12" s="28"/>
      <c r="L12" s="31">
        <f>SUM(L10:L11)</f>
        <v>0</v>
      </c>
      <c r="M12" s="31">
        <f>SUM(M10:M11)</f>
        <v>0</v>
      </c>
      <c r="N12" s="31">
        <f>SUM(N10:N11)</f>
        <v>0</v>
      </c>
      <c r="O12" s="30"/>
      <c r="P12" s="30"/>
      <c r="Q12" s="2"/>
      <c r="R12" s="2"/>
      <c r="S12" s="2"/>
    </row>
    <row r="13" spans="1:28" s="4" customFormat="1" x14ac:dyDescent="0.2">
      <c r="A13" s="32">
        <v>1</v>
      </c>
      <c r="B13" s="32"/>
      <c r="C13" s="32">
        <v>4</v>
      </c>
      <c r="D13" s="33">
        <v>2023</v>
      </c>
      <c r="E13" s="33" t="s">
        <v>79</v>
      </c>
      <c r="F13" s="34"/>
      <c r="G13" s="35"/>
      <c r="H13" s="35"/>
      <c r="I13" s="35"/>
      <c r="J13" s="171"/>
      <c r="K13" s="33"/>
      <c r="L13" s="36"/>
      <c r="M13" s="36">
        <f t="shared" ref="M13:M14" si="4">ROUND((L13*19%),0)</f>
        <v>0</v>
      </c>
      <c r="N13" s="36">
        <f t="shared" ref="N13:N14" si="5">SUM(L13:M13)</f>
        <v>0</v>
      </c>
      <c r="O13" s="30"/>
      <c r="P13" s="30"/>
      <c r="R13" s="2"/>
    </row>
    <row r="14" spans="1:28" s="4" customFormat="1" x14ac:dyDescent="0.2">
      <c r="A14" s="32">
        <v>2</v>
      </c>
      <c r="B14" s="32"/>
      <c r="C14" s="32">
        <v>4</v>
      </c>
      <c r="D14" s="33">
        <v>2023</v>
      </c>
      <c r="E14" s="33" t="s">
        <v>79</v>
      </c>
      <c r="F14" s="34"/>
      <c r="G14" s="35"/>
      <c r="H14" s="35"/>
      <c r="I14" s="35"/>
      <c r="J14" s="33"/>
      <c r="K14" s="33"/>
      <c r="L14" s="36"/>
      <c r="M14" s="36">
        <f t="shared" si="4"/>
        <v>0</v>
      </c>
      <c r="N14" s="36">
        <f t="shared" si="5"/>
        <v>0</v>
      </c>
      <c r="O14" s="30"/>
      <c r="P14" s="30"/>
      <c r="Q14" s="2"/>
    </row>
    <row r="15" spans="1:28" s="4" customFormat="1" x14ac:dyDescent="0.2">
      <c r="A15" s="37" t="s">
        <v>65</v>
      </c>
      <c r="B15" s="38"/>
      <c r="C15" s="38"/>
      <c r="D15" s="39"/>
      <c r="E15" s="39"/>
      <c r="F15" s="40"/>
      <c r="G15" s="41"/>
      <c r="H15" s="41"/>
      <c r="I15" s="41"/>
      <c r="J15" s="39"/>
      <c r="K15" s="39"/>
      <c r="L15" s="42">
        <f>SUM(L13:L14)</f>
        <v>0</v>
      </c>
      <c r="M15" s="42">
        <f t="shared" ref="M15:N15" si="6">SUM(M13:M14)</f>
        <v>0</v>
      </c>
      <c r="N15" s="42">
        <f t="shared" si="6"/>
        <v>0</v>
      </c>
      <c r="O15" s="30"/>
      <c r="P15" s="30"/>
      <c r="Q15" s="2"/>
    </row>
    <row r="16" spans="1:28" s="4" customFormat="1" x14ac:dyDescent="0.2">
      <c r="A16" s="43" t="s">
        <v>16</v>
      </c>
      <c r="B16" s="44"/>
      <c r="C16" s="44"/>
      <c r="D16" s="44"/>
      <c r="E16" s="44"/>
      <c r="F16" s="45"/>
      <c r="G16" s="45"/>
      <c r="H16" s="45"/>
      <c r="I16" s="45"/>
      <c r="J16" s="46"/>
      <c r="K16" s="46"/>
      <c r="L16" s="47">
        <f>+L9+L12+L15</f>
        <v>548065</v>
      </c>
      <c r="M16" s="47">
        <f>+M9+M12+M15</f>
        <v>104133</v>
      </c>
      <c r="N16" s="47">
        <f>+N9+N12+N15</f>
        <v>652198</v>
      </c>
      <c r="O16" s="2"/>
      <c r="P16" s="2"/>
      <c r="Q16" s="2"/>
      <c r="S16" s="48"/>
      <c r="T16" s="49"/>
      <c r="U16" s="50"/>
    </row>
    <row r="17" spans="1:37" x14ac:dyDescent="0.2">
      <c r="S17" s="48"/>
      <c r="T17" s="49"/>
      <c r="U17" s="50"/>
    </row>
    <row r="18" spans="1:37" s="4" customFormat="1" x14ac:dyDescent="0.2">
      <c r="A18" s="51" t="s">
        <v>6</v>
      </c>
      <c r="B18" s="52"/>
      <c r="C18" s="52"/>
      <c r="D18" s="52"/>
      <c r="E18" s="53"/>
      <c r="F18" s="53"/>
      <c r="G18" s="2"/>
      <c r="H18" s="2"/>
      <c r="I18" s="2"/>
      <c r="J18" s="8"/>
      <c r="K18" s="8"/>
      <c r="L18" s="54"/>
      <c r="M18" s="3"/>
      <c r="N18" s="3"/>
      <c r="O18" s="3"/>
      <c r="P18" s="3"/>
      <c r="Q18" s="3"/>
      <c r="S18" s="48"/>
      <c r="T18" s="49"/>
      <c r="U18" s="50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x14ac:dyDescent="0.2">
      <c r="A19" s="55" t="s">
        <v>41</v>
      </c>
      <c r="B19" s="56" t="s">
        <v>37</v>
      </c>
      <c r="C19" s="56" t="s">
        <v>38</v>
      </c>
      <c r="D19" s="56" t="s">
        <v>39</v>
      </c>
      <c r="E19" s="191" t="s">
        <v>71</v>
      </c>
      <c r="F19" s="191"/>
      <c r="G19" s="55"/>
      <c r="H19" s="55" t="s">
        <v>4</v>
      </c>
      <c r="I19" s="55"/>
      <c r="J19" s="55" t="s">
        <v>5</v>
      </c>
      <c r="K19" s="55"/>
      <c r="L19" s="55" t="s">
        <v>52</v>
      </c>
      <c r="M19" s="55" t="s">
        <v>35</v>
      </c>
      <c r="N19" s="55" t="s">
        <v>1</v>
      </c>
      <c r="O19" s="55" t="s">
        <v>61</v>
      </c>
      <c r="P19" s="55" t="s">
        <v>2</v>
      </c>
    </row>
    <row r="20" spans="1:37" x14ac:dyDescent="0.2">
      <c r="A20" s="57">
        <v>1</v>
      </c>
      <c r="B20" s="58">
        <v>31</v>
      </c>
      <c r="C20" s="58">
        <v>3</v>
      </c>
      <c r="D20" s="58">
        <v>2023</v>
      </c>
      <c r="E20" s="59" t="s">
        <v>77</v>
      </c>
      <c r="F20" s="59">
        <v>3015339</v>
      </c>
      <c r="G20" s="53" t="s">
        <v>89</v>
      </c>
      <c r="H20" s="60"/>
      <c r="I20" s="53"/>
      <c r="J20" s="61">
        <v>94510000</v>
      </c>
      <c r="K20" s="59">
        <v>1</v>
      </c>
      <c r="L20" s="62">
        <v>46341</v>
      </c>
      <c r="M20" s="62"/>
      <c r="N20" s="62">
        <v>8805</v>
      </c>
      <c r="O20" s="62">
        <v>0</v>
      </c>
      <c r="P20" s="62">
        <f>SUM(L20:O20)</f>
        <v>55146</v>
      </c>
      <c r="Q20" s="200"/>
      <c r="R20" s="194"/>
      <c r="S20" s="166"/>
      <c r="T20" s="166"/>
      <c r="U20" s="166"/>
      <c r="V20" s="166"/>
    </row>
    <row r="21" spans="1:37" x14ac:dyDescent="0.2">
      <c r="A21" s="57">
        <v>2</v>
      </c>
      <c r="B21" s="58">
        <v>1</v>
      </c>
      <c r="C21" s="58">
        <v>4</v>
      </c>
      <c r="D21" s="58">
        <v>2023</v>
      </c>
      <c r="E21" s="59" t="s">
        <v>77</v>
      </c>
      <c r="F21" s="59">
        <v>68672742</v>
      </c>
      <c r="G21" s="53" t="s">
        <v>104</v>
      </c>
      <c r="H21" s="60"/>
      <c r="I21" s="53"/>
      <c r="J21" s="61">
        <v>76124890</v>
      </c>
      <c r="K21" s="59">
        <v>1</v>
      </c>
      <c r="L21" s="62">
        <v>55069</v>
      </c>
      <c r="M21" s="62">
        <v>0</v>
      </c>
      <c r="N21" s="62">
        <v>10463</v>
      </c>
      <c r="O21" s="62">
        <v>0</v>
      </c>
      <c r="P21" s="62">
        <f>SUM(L21:O21)</f>
        <v>65532</v>
      </c>
      <c r="Q21" s="200"/>
      <c r="R21" s="194"/>
      <c r="U21" s="54"/>
      <c r="V21" s="8"/>
    </row>
    <row r="22" spans="1:37" x14ac:dyDescent="0.2">
      <c r="A22" s="1" t="s">
        <v>49</v>
      </c>
      <c r="B22" s="17"/>
      <c r="C22" s="17"/>
      <c r="D22" s="17"/>
      <c r="E22" s="65"/>
      <c r="F22" s="19"/>
      <c r="G22" s="20"/>
      <c r="H22" s="20"/>
      <c r="I22" s="20"/>
      <c r="J22" s="18"/>
      <c r="K22" s="18"/>
      <c r="L22" s="21">
        <f>SUM(L20:L21)</f>
        <v>101410</v>
      </c>
      <c r="M22" s="21">
        <f>SUM(M20:M21)</f>
        <v>0</v>
      </c>
      <c r="N22" s="21">
        <f>SUM(N20:N21)</f>
        <v>19268</v>
      </c>
      <c r="O22" s="21">
        <f>SUM(O20:O21)</f>
        <v>0</v>
      </c>
      <c r="P22" s="21">
        <f>SUM(P20:P21)</f>
        <v>120678</v>
      </c>
      <c r="R22" s="121"/>
      <c r="S22" s="54"/>
      <c r="U22" s="172"/>
      <c r="V22" s="153"/>
      <c r="W22" s="153"/>
    </row>
    <row r="23" spans="1:37" x14ac:dyDescent="0.2">
      <c r="A23" s="66">
        <v>1</v>
      </c>
      <c r="B23" s="66">
        <v>21</v>
      </c>
      <c r="C23" s="66">
        <v>4</v>
      </c>
      <c r="D23" s="66">
        <v>2023</v>
      </c>
      <c r="E23" s="67" t="s">
        <v>78</v>
      </c>
      <c r="F23" s="72">
        <v>57021223</v>
      </c>
      <c r="G23" s="69" t="s">
        <v>104</v>
      </c>
      <c r="H23" s="70"/>
      <c r="I23" s="69"/>
      <c r="J23" s="71">
        <v>76124890</v>
      </c>
      <c r="K23" s="72">
        <v>1</v>
      </c>
      <c r="L23" s="73">
        <v>-5042</v>
      </c>
      <c r="M23" s="74">
        <v>0</v>
      </c>
      <c r="N23" s="74">
        <f t="shared" ref="N23:N24" si="7">ROUND((L23*19%),0)</f>
        <v>-958</v>
      </c>
      <c r="O23" s="74">
        <v>0</v>
      </c>
      <c r="P23" s="74">
        <f>SUM(L23:O23)</f>
        <v>-6000</v>
      </c>
      <c r="R23" s="121"/>
      <c r="S23" s="4"/>
      <c r="U23" s="173"/>
      <c r="V23" s="153"/>
      <c r="W23" s="153"/>
    </row>
    <row r="24" spans="1:37" x14ac:dyDescent="0.2">
      <c r="A24" s="66">
        <v>2</v>
      </c>
      <c r="B24" s="66">
        <v>24</v>
      </c>
      <c r="C24" s="66">
        <v>4</v>
      </c>
      <c r="D24" s="66">
        <v>2023</v>
      </c>
      <c r="E24" s="67" t="s">
        <v>78</v>
      </c>
      <c r="F24" s="72">
        <v>57031968</v>
      </c>
      <c r="G24" s="69" t="s">
        <v>104</v>
      </c>
      <c r="H24" s="70"/>
      <c r="I24" s="69"/>
      <c r="J24" s="71">
        <v>76124890</v>
      </c>
      <c r="K24" s="72">
        <v>1</v>
      </c>
      <c r="L24" s="74">
        <v>0</v>
      </c>
      <c r="M24" s="74">
        <v>0</v>
      </c>
      <c r="N24" s="74">
        <f t="shared" si="7"/>
        <v>0</v>
      </c>
      <c r="O24" s="74">
        <v>0</v>
      </c>
      <c r="P24" s="74">
        <f>SUM(L24:O24)</f>
        <v>0</v>
      </c>
      <c r="R24" s="121"/>
      <c r="U24" s="173"/>
      <c r="V24" s="153"/>
      <c r="W24" s="153"/>
    </row>
    <row r="25" spans="1:37" x14ac:dyDescent="0.2">
      <c r="A25" s="26" t="s">
        <v>48</v>
      </c>
      <c r="B25" s="27"/>
      <c r="C25" s="27"/>
      <c r="D25" s="27"/>
      <c r="E25" s="75"/>
      <c r="F25" s="29"/>
      <c r="G25" s="30"/>
      <c r="H25" s="30"/>
      <c r="I25" s="30"/>
      <c r="J25" s="28"/>
      <c r="K25" s="28"/>
      <c r="L25" s="31">
        <f>SUM(L23:L24)</f>
        <v>-5042</v>
      </c>
      <c r="M25" s="31">
        <f>SUM(M23:M24)</f>
        <v>0</v>
      </c>
      <c r="N25" s="31">
        <f>SUM(N23:N24)</f>
        <v>-958</v>
      </c>
      <c r="O25" s="31">
        <f>SUM(O23:O24)</f>
        <v>0</v>
      </c>
      <c r="P25" s="31">
        <f>SUM(P23:P24)</f>
        <v>-6000</v>
      </c>
      <c r="R25" s="121"/>
      <c r="U25" s="173"/>
      <c r="V25" s="153"/>
      <c r="W25" s="153"/>
    </row>
    <row r="26" spans="1:37" x14ac:dyDescent="0.2">
      <c r="A26" s="76" t="s">
        <v>17</v>
      </c>
      <c r="B26" s="56"/>
      <c r="C26" s="56"/>
      <c r="D26" s="56"/>
      <c r="E26" s="56"/>
      <c r="F26" s="77"/>
      <c r="G26" s="77"/>
      <c r="H26" s="77"/>
      <c r="I26" s="77"/>
      <c r="J26" s="78"/>
      <c r="K26" s="78"/>
      <c r="L26" s="79">
        <f>+L22+L25</f>
        <v>96368</v>
      </c>
      <c r="M26" s="79">
        <f>+M22-M25</f>
        <v>0</v>
      </c>
      <c r="N26" s="79">
        <f>N22+N25</f>
        <v>18310</v>
      </c>
      <c r="O26" s="79">
        <f>+O22-O25</f>
        <v>0</v>
      </c>
      <c r="P26" s="79">
        <f>+P22+P25</f>
        <v>114678</v>
      </c>
      <c r="R26" s="121"/>
      <c r="S26" s="4"/>
      <c r="U26" s="173"/>
      <c r="V26" s="153"/>
      <c r="W26" s="153"/>
    </row>
    <row r="27" spans="1:37" x14ac:dyDescent="0.2">
      <c r="R27" s="121"/>
      <c r="S27" s="121"/>
      <c r="T27" s="121"/>
      <c r="U27" s="173"/>
      <c r="V27" s="153"/>
      <c r="W27" s="154"/>
    </row>
    <row r="28" spans="1:37" x14ac:dyDescent="0.2">
      <c r="A28" s="125" t="s">
        <v>7</v>
      </c>
      <c r="B28" s="126"/>
      <c r="C28" s="126"/>
      <c r="D28" s="126"/>
      <c r="E28" s="126"/>
      <c r="F28" s="127"/>
      <c r="J28" s="8"/>
      <c r="K28" s="8"/>
      <c r="L28" s="3"/>
      <c r="M28" s="3"/>
      <c r="N28" s="3"/>
      <c r="O28" s="3"/>
      <c r="P28" s="3"/>
      <c r="Q28" s="3"/>
      <c r="R28" s="2"/>
      <c r="U28" s="4"/>
      <c r="V28" s="156"/>
      <c r="W28" s="155"/>
    </row>
    <row r="29" spans="1:37" x14ac:dyDescent="0.2">
      <c r="A29" s="128" t="s">
        <v>41</v>
      </c>
      <c r="B29" s="129" t="s">
        <v>70</v>
      </c>
      <c r="C29" s="129" t="s">
        <v>38</v>
      </c>
      <c r="D29" s="129" t="s">
        <v>39</v>
      </c>
      <c r="E29" s="192" t="s">
        <v>43</v>
      </c>
      <c r="F29" s="192"/>
      <c r="G29" s="128"/>
      <c r="H29" s="128" t="s">
        <v>8</v>
      </c>
      <c r="I29" s="128"/>
      <c r="J29" s="128" t="s">
        <v>5</v>
      </c>
      <c r="K29" s="128"/>
      <c r="L29" s="128" t="s">
        <v>9</v>
      </c>
      <c r="M29" s="128" t="s">
        <v>97</v>
      </c>
      <c r="N29" s="128" t="s">
        <v>10</v>
      </c>
      <c r="R29" s="2"/>
      <c r="U29" s="4"/>
      <c r="V29" s="156"/>
      <c r="W29" s="156"/>
    </row>
    <row r="30" spans="1:37" x14ac:dyDescent="0.2">
      <c r="A30" s="130">
        <v>1</v>
      </c>
      <c r="B30" s="131"/>
      <c r="C30" s="131">
        <v>4</v>
      </c>
      <c r="D30" s="131">
        <v>2023</v>
      </c>
      <c r="E30" s="132" t="s">
        <v>80</v>
      </c>
      <c r="F30" s="133"/>
      <c r="G30" s="137"/>
      <c r="H30" s="138"/>
      <c r="I30" s="138"/>
      <c r="J30" s="139"/>
      <c r="K30" s="132"/>
      <c r="L30" s="140"/>
      <c r="M30" s="141">
        <f>+L30*0.13</f>
        <v>0</v>
      </c>
      <c r="N30" s="141">
        <f>+L30-M30</f>
        <v>0</v>
      </c>
      <c r="R30" s="2"/>
      <c r="S30" s="4"/>
      <c r="U30" s="4"/>
      <c r="V30" s="156"/>
      <c r="W30" s="155"/>
    </row>
    <row r="31" spans="1:37" x14ac:dyDescent="0.2">
      <c r="A31" s="130">
        <v>2</v>
      </c>
      <c r="B31" s="131"/>
      <c r="C31" s="131">
        <v>4</v>
      </c>
      <c r="D31" s="131">
        <v>2023</v>
      </c>
      <c r="E31" s="132" t="s">
        <v>80</v>
      </c>
      <c r="F31" s="133"/>
      <c r="G31" s="137"/>
      <c r="H31" s="138"/>
      <c r="I31" s="138"/>
      <c r="J31" s="139"/>
      <c r="K31" s="132"/>
      <c r="L31" s="140"/>
      <c r="M31" s="141">
        <f>+L31*0.13</f>
        <v>0</v>
      </c>
      <c r="N31" s="141">
        <f t="shared" ref="N31" si="8">+L31-M31</f>
        <v>0</v>
      </c>
      <c r="R31" s="121"/>
      <c r="S31" s="4"/>
      <c r="U31" s="173"/>
      <c r="V31" s="153"/>
      <c r="W31" s="154"/>
    </row>
    <row r="32" spans="1:37" x14ac:dyDescent="0.2">
      <c r="A32" s="134" t="s">
        <v>18</v>
      </c>
      <c r="B32" s="135"/>
      <c r="C32" s="135"/>
      <c r="D32" s="135"/>
      <c r="E32" s="129"/>
      <c r="F32" s="136"/>
      <c r="G32" s="136"/>
      <c r="H32" s="136"/>
      <c r="I32" s="136"/>
      <c r="J32" s="142"/>
      <c r="K32" s="142"/>
      <c r="L32" s="143">
        <f>SUM(L30:L31)</f>
        <v>0</v>
      </c>
      <c r="M32" s="143">
        <f>SUM(M30:M31)</f>
        <v>0</v>
      </c>
      <c r="N32" s="143">
        <f>SUM(N30:N31)</f>
        <v>0</v>
      </c>
      <c r="R32" s="2"/>
      <c r="U32" s="4"/>
      <c r="V32" s="156"/>
      <c r="W32" s="155"/>
    </row>
    <row r="34" spans="1:28" x14ac:dyDescent="0.2">
      <c r="A34" s="193" t="s">
        <v>102</v>
      </c>
      <c r="B34" s="193"/>
      <c r="C34" s="193"/>
      <c r="D34" s="193"/>
      <c r="E34" s="193"/>
      <c r="F34" s="193"/>
      <c r="G34" s="183" t="s">
        <v>55</v>
      </c>
      <c r="H34" s="183"/>
      <c r="I34" s="183"/>
      <c r="J34" s="183"/>
      <c r="K34" s="183"/>
      <c r="L34" s="184" t="s">
        <v>83</v>
      </c>
      <c r="M34" s="184"/>
      <c r="N34" s="184"/>
      <c r="O34" s="184"/>
      <c r="P34" s="184"/>
      <c r="Q34" s="185" t="s">
        <v>75</v>
      </c>
      <c r="R34" s="185"/>
      <c r="S34" s="186" t="s">
        <v>73</v>
      </c>
      <c r="T34" s="186"/>
      <c r="U34" s="186"/>
      <c r="V34" s="187" t="s">
        <v>12</v>
      </c>
      <c r="W34" s="187"/>
      <c r="X34" s="188" t="s">
        <v>69</v>
      </c>
      <c r="Y34" s="188"/>
      <c r="Z34" s="188"/>
      <c r="AA34" s="188"/>
      <c r="AB34" s="188"/>
    </row>
    <row r="35" spans="1:28" x14ac:dyDescent="0.2">
      <c r="A35" s="83" t="s">
        <v>11</v>
      </c>
      <c r="B35" s="84" t="s">
        <v>47</v>
      </c>
      <c r="C35" s="80"/>
      <c r="D35" s="80"/>
      <c r="E35" s="80"/>
      <c r="F35" s="81">
        <f>+L16</f>
        <v>548065</v>
      </c>
      <c r="G35" s="82" t="s">
        <v>53</v>
      </c>
      <c r="H35" s="85" t="s">
        <v>52</v>
      </c>
      <c r="I35" s="85" t="s">
        <v>1</v>
      </c>
      <c r="J35" s="85" t="s">
        <v>2</v>
      </c>
      <c r="K35" s="86"/>
      <c r="L35" s="88" t="s">
        <v>52</v>
      </c>
      <c r="M35" s="89" t="s">
        <v>35</v>
      </c>
      <c r="N35" s="88" t="s">
        <v>1</v>
      </c>
      <c r="O35" s="89" t="s">
        <v>67</v>
      </c>
      <c r="P35" s="89" t="s">
        <v>2</v>
      </c>
      <c r="Q35" s="157" t="s">
        <v>76</v>
      </c>
      <c r="R35" s="157" t="s">
        <v>60</v>
      </c>
      <c r="S35" s="90" t="s">
        <v>9</v>
      </c>
      <c r="T35" s="91" t="s">
        <v>74</v>
      </c>
      <c r="U35" s="92" t="s">
        <v>10</v>
      </c>
      <c r="V35" s="87" t="s">
        <v>56</v>
      </c>
      <c r="W35" s="87" t="s">
        <v>57</v>
      </c>
      <c r="X35" s="122" t="s">
        <v>58</v>
      </c>
      <c r="Y35" s="122" t="s">
        <v>68</v>
      </c>
      <c r="Z35" s="122" t="s">
        <v>62</v>
      </c>
      <c r="AA35" s="122" t="s">
        <v>72</v>
      </c>
      <c r="AB35" s="122" t="s">
        <v>59</v>
      </c>
    </row>
    <row r="36" spans="1:28" x14ac:dyDescent="0.2">
      <c r="A36" s="83" t="s">
        <v>11</v>
      </c>
      <c r="B36" s="84" t="s">
        <v>13</v>
      </c>
      <c r="C36" s="84"/>
      <c r="D36" s="84"/>
      <c r="E36" s="84"/>
      <c r="F36" s="81">
        <f>+M9</f>
        <v>104133</v>
      </c>
      <c r="G36" s="86" t="s">
        <v>22</v>
      </c>
      <c r="H36" s="93">
        <v>362422</v>
      </c>
      <c r="I36" s="93">
        <f t="shared" ref="I36:I47" si="9">ROUND((H36*0.19),0)</f>
        <v>68860</v>
      </c>
      <c r="J36" s="93">
        <f>SUM(H36:I36)</f>
        <v>431282</v>
      </c>
      <c r="K36" s="86"/>
      <c r="L36" s="96">
        <v>206080</v>
      </c>
      <c r="M36" s="96">
        <v>0</v>
      </c>
      <c r="N36" s="96">
        <v>39155</v>
      </c>
      <c r="O36" s="97">
        <v>0</v>
      </c>
      <c r="P36" s="97">
        <f>SUM(L36:O36)</f>
        <v>245235</v>
      </c>
      <c r="Q36" s="158">
        <v>0</v>
      </c>
      <c r="R36" s="158">
        <v>0</v>
      </c>
      <c r="S36" s="98">
        <v>0</v>
      </c>
      <c r="T36" s="98">
        <f>+S36*0.13</f>
        <v>0</v>
      </c>
      <c r="U36" s="98">
        <f t="shared" ref="U36:U47" si="10">+S36-T36</f>
        <v>0</v>
      </c>
      <c r="V36" s="94">
        <v>0.1</v>
      </c>
      <c r="W36" s="95">
        <f t="shared" ref="W36:W47" si="11">ROUND((H36*V36),2)</f>
        <v>36242.199999999997</v>
      </c>
      <c r="X36" s="123">
        <v>0</v>
      </c>
      <c r="Y36" s="123">
        <v>0</v>
      </c>
      <c r="Z36" s="123">
        <v>48000</v>
      </c>
      <c r="AA36" s="123">
        <v>0</v>
      </c>
      <c r="AB36" s="123">
        <v>30084</v>
      </c>
    </row>
    <row r="37" spans="1:28" x14ac:dyDescent="0.2">
      <c r="A37" s="83" t="s">
        <v>11</v>
      </c>
      <c r="B37" s="99" t="s">
        <v>45</v>
      </c>
      <c r="C37" s="84"/>
      <c r="D37" s="84"/>
      <c r="E37" s="84"/>
      <c r="F37" s="100">
        <f>+M12</f>
        <v>0</v>
      </c>
      <c r="G37" s="86" t="s">
        <v>23</v>
      </c>
      <c r="H37" s="93">
        <v>727324</v>
      </c>
      <c r="I37" s="93">
        <v>138191</v>
      </c>
      <c r="J37" s="93">
        <f t="shared" ref="J37:J47" si="12">SUM(H37:I37)</f>
        <v>865515</v>
      </c>
      <c r="K37" s="86"/>
      <c r="L37" s="96">
        <v>24120</v>
      </c>
      <c r="M37" s="96">
        <v>0</v>
      </c>
      <c r="N37" s="96">
        <v>4583</v>
      </c>
      <c r="O37" s="97">
        <v>0</v>
      </c>
      <c r="P37" s="97">
        <f t="shared" ref="P37:P47" si="13">SUM(L37:O37)</f>
        <v>28703</v>
      </c>
      <c r="Q37" s="158">
        <v>0</v>
      </c>
      <c r="R37" s="158">
        <v>0</v>
      </c>
      <c r="S37" s="98">
        <v>0</v>
      </c>
      <c r="T37" s="98">
        <f t="shared" ref="T37:T47" si="14">+S37*0.13</f>
        <v>0</v>
      </c>
      <c r="U37" s="98">
        <f t="shared" si="10"/>
        <v>0</v>
      </c>
      <c r="V37" s="94">
        <v>0.1</v>
      </c>
      <c r="W37" s="95">
        <f t="shared" si="11"/>
        <v>72732.399999999994</v>
      </c>
      <c r="X37" s="123">
        <v>0</v>
      </c>
      <c r="Y37" s="123">
        <v>0</v>
      </c>
      <c r="Z37" s="123">
        <v>48000</v>
      </c>
      <c r="AA37" s="123">
        <v>0</v>
      </c>
      <c r="AB37" s="123">
        <v>0</v>
      </c>
    </row>
    <row r="38" spans="1:28" s="4" customFormat="1" x14ac:dyDescent="0.2">
      <c r="A38" s="83" t="s">
        <v>11</v>
      </c>
      <c r="B38" s="101" t="s">
        <v>64</v>
      </c>
      <c r="C38" s="101"/>
      <c r="D38" s="84"/>
      <c r="E38" s="84"/>
      <c r="F38" s="102">
        <v>0</v>
      </c>
      <c r="G38" s="86" t="s">
        <v>24</v>
      </c>
      <c r="H38" s="93">
        <v>3119121</v>
      </c>
      <c r="I38" s="93">
        <f t="shared" si="9"/>
        <v>592633</v>
      </c>
      <c r="J38" s="93">
        <f t="shared" si="12"/>
        <v>3711754</v>
      </c>
      <c r="K38" s="86"/>
      <c r="L38" s="96">
        <v>25050</v>
      </c>
      <c r="M38" s="96">
        <v>0</v>
      </c>
      <c r="N38" s="96">
        <v>4760</v>
      </c>
      <c r="O38" s="97">
        <v>0</v>
      </c>
      <c r="P38" s="97">
        <f t="shared" si="13"/>
        <v>29810</v>
      </c>
      <c r="Q38" s="158">
        <v>0</v>
      </c>
      <c r="R38" s="158">
        <v>0</v>
      </c>
      <c r="S38" s="98">
        <v>0</v>
      </c>
      <c r="T38" s="98">
        <f t="shared" si="14"/>
        <v>0</v>
      </c>
      <c r="U38" s="98">
        <f t="shared" si="10"/>
        <v>0</v>
      </c>
      <c r="V38" s="94">
        <v>0.1</v>
      </c>
      <c r="W38" s="95">
        <f t="shared" si="11"/>
        <v>311912.09999999998</v>
      </c>
      <c r="X38" s="123">
        <v>0</v>
      </c>
      <c r="Y38" s="123">
        <v>0</v>
      </c>
      <c r="Z38" s="123">
        <v>48000</v>
      </c>
      <c r="AA38" s="123">
        <v>0</v>
      </c>
      <c r="AB38" s="123">
        <v>0</v>
      </c>
    </row>
    <row r="39" spans="1:28" s="4" customFormat="1" x14ac:dyDescent="0.2">
      <c r="A39" s="83" t="s">
        <v>11</v>
      </c>
      <c r="B39" s="84" t="s">
        <v>63</v>
      </c>
      <c r="C39" s="84"/>
      <c r="D39" s="84"/>
      <c r="E39" s="84"/>
      <c r="F39" s="103">
        <f>SUM(F36:F37)</f>
        <v>104133</v>
      </c>
      <c r="G39" s="86" t="s">
        <v>25</v>
      </c>
      <c r="H39" s="93">
        <v>548065</v>
      </c>
      <c r="I39" s="93">
        <v>104133</v>
      </c>
      <c r="J39" s="93">
        <f t="shared" si="12"/>
        <v>652198</v>
      </c>
      <c r="K39" s="93"/>
      <c r="L39" s="96">
        <v>93368</v>
      </c>
      <c r="M39" s="96">
        <v>0</v>
      </c>
      <c r="N39" s="96">
        <v>18310</v>
      </c>
      <c r="O39" s="97">
        <v>0</v>
      </c>
      <c r="P39" s="97">
        <f t="shared" si="13"/>
        <v>111678</v>
      </c>
      <c r="Q39" s="158">
        <v>0</v>
      </c>
      <c r="R39" s="158">
        <v>0</v>
      </c>
      <c r="S39" s="98">
        <v>0</v>
      </c>
      <c r="T39" s="98">
        <f t="shared" si="14"/>
        <v>0</v>
      </c>
      <c r="U39" s="98">
        <f t="shared" si="10"/>
        <v>0</v>
      </c>
      <c r="V39" s="94">
        <v>0.1</v>
      </c>
      <c r="W39" s="95">
        <f t="shared" si="11"/>
        <v>54806.5</v>
      </c>
      <c r="X39" s="123">
        <v>0</v>
      </c>
      <c r="Y39" s="123">
        <v>0</v>
      </c>
      <c r="Z39" s="123">
        <v>48000</v>
      </c>
      <c r="AA39" s="123">
        <v>0</v>
      </c>
      <c r="AB39" s="123">
        <v>0</v>
      </c>
    </row>
    <row r="40" spans="1:28" s="4" customFormat="1" x14ac:dyDescent="0.2">
      <c r="A40" s="83" t="s">
        <v>11</v>
      </c>
      <c r="B40" s="99" t="s">
        <v>14</v>
      </c>
      <c r="C40" s="84"/>
      <c r="D40" s="84"/>
      <c r="E40" s="84"/>
      <c r="F40" s="100">
        <f>-N22</f>
        <v>-19268</v>
      </c>
      <c r="G40" s="86" t="s">
        <v>26</v>
      </c>
      <c r="H40" s="93">
        <v>0</v>
      </c>
      <c r="I40" s="93">
        <f t="shared" si="9"/>
        <v>0</v>
      </c>
      <c r="J40" s="93">
        <f t="shared" si="12"/>
        <v>0</v>
      </c>
      <c r="K40" s="93"/>
      <c r="L40" s="96">
        <v>0</v>
      </c>
      <c r="M40" s="96">
        <v>0</v>
      </c>
      <c r="N40" s="96">
        <v>0</v>
      </c>
      <c r="O40" s="97">
        <v>0</v>
      </c>
      <c r="P40" s="97">
        <f t="shared" si="13"/>
        <v>0</v>
      </c>
      <c r="Q40" s="158">
        <v>0</v>
      </c>
      <c r="R40" s="158">
        <v>0</v>
      </c>
      <c r="S40" s="98">
        <v>0</v>
      </c>
      <c r="T40" s="98">
        <f t="shared" si="14"/>
        <v>0</v>
      </c>
      <c r="U40" s="98">
        <f t="shared" si="10"/>
        <v>0</v>
      </c>
      <c r="V40" s="94"/>
      <c r="W40" s="95">
        <f t="shared" si="11"/>
        <v>0</v>
      </c>
      <c r="X40" s="123">
        <v>0</v>
      </c>
      <c r="Y40" s="123">
        <v>0</v>
      </c>
      <c r="Z40" s="123">
        <v>0</v>
      </c>
      <c r="AA40" s="123">
        <v>0</v>
      </c>
      <c r="AB40" s="123">
        <v>0</v>
      </c>
    </row>
    <row r="41" spans="1:28" s="4" customFormat="1" x14ac:dyDescent="0.2">
      <c r="A41" s="83" t="s">
        <v>11</v>
      </c>
      <c r="B41" s="101" t="s">
        <v>46</v>
      </c>
      <c r="C41" s="101"/>
      <c r="D41" s="101"/>
      <c r="E41" s="101"/>
      <c r="F41" s="108">
        <f>-N25</f>
        <v>958</v>
      </c>
      <c r="G41" s="86" t="s">
        <v>27</v>
      </c>
      <c r="H41" s="93">
        <v>0</v>
      </c>
      <c r="I41" s="93">
        <f t="shared" si="9"/>
        <v>0</v>
      </c>
      <c r="J41" s="93">
        <f t="shared" si="12"/>
        <v>0</v>
      </c>
      <c r="K41" s="93"/>
      <c r="L41" s="96">
        <v>0</v>
      </c>
      <c r="M41" s="96">
        <v>0</v>
      </c>
      <c r="N41" s="96">
        <v>0</v>
      </c>
      <c r="O41" s="97">
        <v>0</v>
      </c>
      <c r="P41" s="97">
        <f t="shared" si="13"/>
        <v>0</v>
      </c>
      <c r="Q41" s="158">
        <v>0</v>
      </c>
      <c r="R41" s="158">
        <v>0</v>
      </c>
      <c r="S41" s="98">
        <v>0</v>
      </c>
      <c r="T41" s="98">
        <f t="shared" si="14"/>
        <v>0</v>
      </c>
      <c r="U41" s="98">
        <f t="shared" si="10"/>
        <v>0</v>
      </c>
      <c r="V41" s="94"/>
      <c r="W41" s="95">
        <f t="shared" si="11"/>
        <v>0</v>
      </c>
      <c r="X41" s="123">
        <v>0</v>
      </c>
      <c r="Y41" s="123">
        <v>0</v>
      </c>
      <c r="Z41" s="123">
        <v>0</v>
      </c>
      <c r="AA41" s="123">
        <v>0</v>
      </c>
      <c r="AB41" s="123">
        <v>0</v>
      </c>
    </row>
    <row r="42" spans="1:28" s="4" customFormat="1" x14ac:dyDescent="0.2">
      <c r="A42" s="83" t="s">
        <v>11</v>
      </c>
      <c r="B42" s="84" t="s">
        <v>15</v>
      </c>
      <c r="C42" s="84"/>
      <c r="D42" s="84"/>
      <c r="E42" s="84"/>
      <c r="F42" s="81">
        <f>SUM(F39:F41)</f>
        <v>85823</v>
      </c>
      <c r="G42" s="86" t="s">
        <v>28</v>
      </c>
      <c r="H42" s="93">
        <v>0</v>
      </c>
      <c r="I42" s="93">
        <f t="shared" si="9"/>
        <v>0</v>
      </c>
      <c r="J42" s="93">
        <f t="shared" si="12"/>
        <v>0</v>
      </c>
      <c r="K42" s="93"/>
      <c r="L42" s="96">
        <v>0</v>
      </c>
      <c r="M42" s="96">
        <v>0</v>
      </c>
      <c r="N42" s="96">
        <v>0</v>
      </c>
      <c r="O42" s="97">
        <v>0</v>
      </c>
      <c r="P42" s="97">
        <f t="shared" si="13"/>
        <v>0</v>
      </c>
      <c r="Q42" s="158">
        <v>0</v>
      </c>
      <c r="R42" s="158">
        <v>0</v>
      </c>
      <c r="S42" s="98">
        <v>0</v>
      </c>
      <c r="T42" s="98">
        <f t="shared" si="14"/>
        <v>0</v>
      </c>
      <c r="U42" s="98">
        <f t="shared" si="10"/>
        <v>0</v>
      </c>
      <c r="V42" s="94"/>
      <c r="W42" s="95">
        <f t="shared" si="11"/>
        <v>0</v>
      </c>
      <c r="X42" s="123">
        <v>0</v>
      </c>
      <c r="Y42" s="123">
        <v>0</v>
      </c>
      <c r="Z42" s="123">
        <v>0</v>
      </c>
      <c r="AA42" s="123">
        <v>0</v>
      </c>
      <c r="AB42" s="123">
        <v>0</v>
      </c>
    </row>
    <row r="43" spans="1:28" s="4" customFormat="1" x14ac:dyDescent="0.2">
      <c r="A43" s="83" t="s">
        <v>11</v>
      </c>
      <c r="B43" s="84" t="s">
        <v>34</v>
      </c>
      <c r="C43" s="84"/>
      <c r="D43" s="84"/>
      <c r="E43" s="84"/>
      <c r="F43" s="81">
        <f>+M32</f>
        <v>0</v>
      </c>
      <c r="G43" s="86" t="s">
        <v>29</v>
      </c>
      <c r="H43" s="93">
        <v>0</v>
      </c>
      <c r="I43" s="93">
        <f t="shared" si="9"/>
        <v>0</v>
      </c>
      <c r="J43" s="93">
        <f t="shared" si="12"/>
        <v>0</v>
      </c>
      <c r="K43" s="93"/>
      <c r="L43" s="96">
        <v>0</v>
      </c>
      <c r="M43" s="96">
        <v>0</v>
      </c>
      <c r="N43" s="96">
        <v>0</v>
      </c>
      <c r="O43" s="97">
        <v>0</v>
      </c>
      <c r="P43" s="97">
        <f t="shared" si="13"/>
        <v>0</v>
      </c>
      <c r="Q43" s="158">
        <v>0</v>
      </c>
      <c r="R43" s="158">
        <v>0</v>
      </c>
      <c r="S43" s="98">
        <v>0</v>
      </c>
      <c r="T43" s="98">
        <f t="shared" si="14"/>
        <v>0</v>
      </c>
      <c r="U43" s="98">
        <f t="shared" si="10"/>
        <v>0</v>
      </c>
      <c r="V43" s="94"/>
      <c r="W43" s="95">
        <f t="shared" si="11"/>
        <v>0</v>
      </c>
      <c r="X43" s="123">
        <v>0</v>
      </c>
      <c r="Y43" s="123">
        <v>0</v>
      </c>
      <c r="Z43" s="123">
        <v>0</v>
      </c>
      <c r="AA43" s="123">
        <v>0</v>
      </c>
      <c r="AB43" s="123">
        <v>0</v>
      </c>
    </row>
    <row r="44" spans="1:28" s="4" customFormat="1" x14ac:dyDescent="0.2">
      <c r="A44" s="83" t="s">
        <v>11</v>
      </c>
      <c r="B44" s="84" t="s">
        <v>12</v>
      </c>
      <c r="C44" s="84"/>
      <c r="D44" s="104">
        <v>0.1</v>
      </c>
      <c r="E44" s="84"/>
      <c r="F44" s="81">
        <f>ROUND((L16*D44),0)</f>
        <v>54807</v>
      </c>
      <c r="G44" s="86" t="s">
        <v>30</v>
      </c>
      <c r="H44" s="93">
        <v>0</v>
      </c>
      <c r="I44" s="93">
        <f t="shared" si="9"/>
        <v>0</v>
      </c>
      <c r="J44" s="93">
        <f t="shared" si="12"/>
        <v>0</v>
      </c>
      <c r="K44" s="93"/>
      <c r="L44" s="96">
        <v>0</v>
      </c>
      <c r="M44" s="96">
        <v>0</v>
      </c>
      <c r="N44" s="96">
        <v>0</v>
      </c>
      <c r="O44" s="97">
        <v>0</v>
      </c>
      <c r="P44" s="97">
        <f t="shared" si="13"/>
        <v>0</v>
      </c>
      <c r="Q44" s="158">
        <v>0</v>
      </c>
      <c r="R44" s="158">
        <v>0</v>
      </c>
      <c r="S44" s="98">
        <v>0</v>
      </c>
      <c r="T44" s="98">
        <f t="shared" si="14"/>
        <v>0</v>
      </c>
      <c r="U44" s="98">
        <f t="shared" si="10"/>
        <v>0</v>
      </c>
      <c r="V44" s="94"/>
      <c r="W44" s="95">
        <f t="shared" si="11"/>
        <v>0</v>
      </c>
      <c r="X44" s="123">
        <v>0</v>
      </c>
      <c r="Y44" s="123">
        <v>0</v>
      </c>
      <c r="Z44" s="123">
        <v>0</v>
      </c>
      <c r="AA44" s="123">
        <v>0</v>
      </c>
      <c r="AB44" s="123">
        <v>0</v>
      </c>
    </row>
    <row r="45" spans="1:28" s="4" customFormat="1" x14ac:dyDescent="0.2">
      <c r="A45" s="83" t="s">
        <v>11</v>
      </c>
      <c r="B45" s="105" t="s">
        <v>66</v>
      </c>
      <c r="C45" s="106"/>
      <c r="D45" s="106"/>
      <c r="E45" s="84"/>
      <c r="F45" s="107">
        <v>0</v>
      </c>
      <c r="G45" s="86" t="s">
        <v>31</v>
      </c>
      <c r="H45" s="93">
        <v>0</v>
      </c>
      <c r="I45" s="93">
        <f t="shared" si="9"/>
        <v>0</v>
      </c>
      <c r="J45" s="93">
        <f t="shared" si="12"/>
        <v>0</v>
      </c>
      <c r="K45" s="93"/>
      <c r="L45" s="96">
        <v>0</v>
      </c>
      <c r="M45" s="96">
        <v>0</v>
      </c>
      <c r="N45" s="96">
        <v>0</v>
      </c>
      <c r="O45" s="97">
        <v>0</v>
      </c>
      <c r="P45" s="97">
        <f t="shared" si="13"/>
        <v>0</v>
      </c>
      <c r="Q45" s="158">
        <v>0</v>
      </c>
      <c r="R45" s="158">
        <v>0</v>
      </c>
      <c r="S45" s="98">
        <v>0</v>
      </c>
      <c r="T45" s="98">
        <f t="shared" si="14"/>
        <v>0</v>
      </c>
      <c r="U45" s="98">
        <f t="shared" si="10"/>
        <v>0</v>
      </c>
      <c r="V45" s="94"/>
      <c r="W45" s="95">
        <f t="shared" si="11"/>
        <v>0</v>
      </c>
      <c r="X45" s="123">
        <v>0</v>
      </c>
      <c r="Y45" s="123">
        <v>0</v>
      </c>
      <c r="Z45" s="123">
        <v>0</v>
      </c>
      <c r="AA45" s="123">
        <v>0</v>
      </c>
      <c r="AB45" s="123">
        <v>0</v>
      </c>
    </row>
    <row r="46" spans="1:28" s="4" customFormat="1" x14ac:dyDescent="0.2">
      <c r="A46" s="83" t="s">
        <v>11</v>
      </c>
      <c r="B46" s="106" t="s">
        <v>19</v>
      </c>
      <c r="C46" s="106"/>
      <c r="D46" s="106"/>
      <c r="E46" s="84"/>
      <c r="F46" s="108">
        <f>SUM(F42:F44)</f>
        <v>140630</v>
      </c>
      <c r="G46" s="86" t="s">
        <v>32</v>
      </c>
      <c r="H46" s="93">
        <v>0</v>
      </c>
      <c r="I46" s="93">
        <f t="shared" si="9"/>
        <v>0</v>
      </c>
      <c r="J46" s="93">
        <f t="shared" si="12"/>
        <v>0</v>
      </c>
      <c r="K46" s="93"/>
      <c r="L46" s="96">
        <v>0</v>
      </c>
      <c r="M46" s="96">
        <v>0</v>
      </c>
      <c r="N46" s="96">
        <v>0</v>
      </c>
      <c r="O46" s="97">
        <v>0</v>
      </c>
      <c r="P46" s="97">
        <f t="shared" si="13"/>
        <v>0</v>
      </c>
      <c r="Q46" s="158">
        <v>0</v>
      </c>
      <c r="R46" s="158">
        <v>0</v>
      </c>
      <c r="S46" s="98">
        <v>0</v>
      </c>
      <c r="T46" s="98">
        <f t="shared" si="14"/>
        <v>0</v>
      </c>
      <c r="U46" s="98">
        <f t="shared" si="10"/>
        <v>0</v>
      </c>
      <c r="V46" s="94"/>
      <c r="W46" s="95">
        <f t="shared" si="11"/>
        <v>0</v>
      </c>
      <c r="X46" s="123">
        <v>0</v>
      </c>
      <c r="Y46" s="123">
        <v>0</v>
      </c>
      <c r="Z46" s="123">
        <v>0</v>
      </c>
      <c r="AA46" s="123">
        <v>0</v>
      </c>
      <c r="AB46" s="123">
        <v>0</v>
      </c>
    </row>
    <row r="47" spans="1:28" s="4" customFormat="1" x14ac:dyDescent="0.2">
      <c r="A47" s="109" t="s">
        <v>20</v>
      </c>
      <c r="B47" s="110"/>
      <c r="C47" s="110"/>
      <c r="D47" s="110"/>
      <c r="E47" s="110"/>
      <c r="F47" s="111">
        <f>+F42+F44</f>
        <v>140630</v>
      </c>
      <c r="G47" s="86" t="s">
        <v>33</v>
      </c>
      <c r="H47" s="93">
        <v>0</v>
      </c>
      <c r="I47" s="93">
        <f t="shared" si="9"/>
        <v>0</v>
      </c>
      <c r="J47" s="93">
        <f t="shared" si="12"/>
        <v>0</v>
      </c>
      <c r="K47" s="93"/>
      <c r="L47" s="96">
        <v>0</v>
      </c>
      <c r="M47" s="96">
        <v>0</v>
      </c>
      <c r="N47" s="96">
        <v>0</v>
      </c>
      <c r="O47" s="97">
        <v>0</v>
      </c>
      <c r="P47" s="97">
        <f t="shared" si="13"/>
        <v>0</v>
      </c>
      <c r="Q47" s="158">
        <v>0</v>
      </c>
      <c r="R47" s="158">
        <v>0</v>
      </c>
      <c r="S47" s="98">
        <v>0</v>
      </c>
      <c r="T47" s="98">
        <f t="shared" si="14"/>
        <v>0</v>
      </c>
      <c r="U47" s="98">
        <f t="shared" si="10"/>
        <v>0</v>
      </c>
      <c r="V47" s="94"/>
      <c r="W47" s="95">
        <f t="shared" si="11"/>
        <v>0</v>
      </c>
      <c r="X47" s="123">
        <v>0</v>
      </c>
      <c r="Y47" s="123">
        <v>0</v>
      </c>
      <c r="Z47" s="123">
        <v>0</v>
      </c>
      <c r="AA47" s="123">
        <v>0</v>
      </c>
      <c r="AB47" s="123">
        <v>0</v>
      </c>
    </row>
    <row r="48" spans="1:28" s="4" customFormat="1" x14ac:dyDescent="0.2">
      <c r="A48" s="109" t="s">
        <v>21</v>
      </c>
      <c r="B48" s="110"/>
      <c r="C48" s="110"/>
      <c r="D48" s="110"/>
      <c r="E48" s="110"/>
      <c r="F48" s="112">
        <f>+F47/L16</f>
        <v>0.25659365221278496</v>
      </c>
      <c r="G48" s="113" t="s">
        <v>36</v>
      </c>
      <c r="H48" s="114">
        <f>SUM(H36:H47)</f>
        <v>4756932</v>
      </c>
      <c r="I48" s="114">
        <f>SUM(I36:I47)</f>
        <v>903817</v>
      </c>
      <c r="J48" s="114">
        <f>SUM(J36:J47)</f>
        <v>5660749</v>
      </c>
      <c r="K48" s="93"/>
      <c r="L48" s="116">
        <f>SUM(L36:L47)</f>
        <v>348618</v>
      </c>
      <c r="M48" s="116">
        <f t="shared" ref="M48:P48" si="15">SUM(M36:M47)</f>
        <v>0</v>
      </c>
      <c r="N48" s="116">
        <f t="shared" si="15"/>
        <v>66808</v>
      </c>
      <c r="O48" s="116">
        <f t="shared" si="15"/>
        <v>0</v>
      </c>
      <c r="P48" s="116">
        <f t="shared" si="15"/>
        <v>415426</v>
      </c>
      <c r="Q48" s="159">
        <f>SUM(Q36:Q47)</f>
        <v>0</v>
      </c>
      <c r="R48" s="159">
        <f>SUM(R36:R47)</f>
        <v>0</v>
      </c>
      <c r="S48" s="117">
        <f>SUM(S36:S47)</f>
        <v>0</v>
      </c>
      <c r="T48" s="117">
        <f t="shared" ref="T48:U48" si="16">SUM(T36:T47)</f>
        <v>0</v>
      </c>
      <c r="U48" s="117">
        <f t="shared" si="16"/>
        <v>0</v>
      </c>
      <c r="V48" s="144">
        <f>SUM(V36:V47)</f>
        <v>0.4</v>
      </c>
      <c r="W48" s="115">
        <f>SUM(W36:W47)</f>
        <v>475693.19999999995</v>
      </c>
      <c r="X48" s="124">
        <f>SUM(X36:X47)</f>
        <v>0</v>
      </c>
      <c r="Y48" s="124">
        <f t="shared" ref="Y48:AB48" si="17">SUM(Y36:Y47)</f>
        <v>0</v>
      </c>
      <c r="Z48" s="124">
        <f t="shared" si="17"/>
        <v>192000</v>
      </c>
      <c r="AA48" s="124">
        <f>SUM(AA36:AA47)</f>
        <v>0</v>
      </c>
      <c r="AB48" s="124">
        <f t="shared" si="17"/>
        <v>30084</v>
      </c>
    </row>
    <row r="49" spans="1:35" s="4" customFormat="1" x14ac:dyDescent="0.2">
      <c r="A49" s="118" t="s">
        <v>125</v>
      </c>
      <c r="B49" s="119"/>
      <c r="C49" s="119"/>
      <c r="D49" s="119"/>
      <c r="E49" s="119"/>
      <c r="F49" s="120">
        <f>+F42/L16</f>
        <v>0.15659273991223668</v>
      </c>
      <c r="G49" s="145" t="s">
        <v>54</v>
      </c>
      <c r="H49" s="146">
        <f>+H48/4</f>
        <v>1189233</v>
      </c>
      <c r="I49" s="146">
        <f>+I48/4</f>
        <v>225954.25</v>
      </c>
      <c r="J49" s="146">
        <f>+J48/4</f>
        <v>1415187.25</v>
      </c>
      <c r="K49" s="145"/>
      <c r="L49" s="149">
        <f t="shared" ref="L49:AB49" si="18">+L48/4</f>
        <v>87154.5</v>
      </c>
      <c r="M49" s="149">
        <f t="shared" si="18"/>
        <v>0</v>
      </c>
      <c r="N49" s="149">
        <f t="shared" si="18"/>
        <v>16702</v>
      </c>
      <c r="O49" s="149">
        <f t="shared" si="18"/>
        <v>0</v>
      </c>
      <c r="P49" s="149">
        <f t="shared" si="18"/>
        <v>103856.5</v>
      </c>
      <c r="Q49" s="160">
        <f t="shared" si="18"/>
        <v>0</v>
      </c>
      <c r="R49" s="160">
        <f t="shared" si="18"/>
        <v>0</v>
      </c>
      <c r="S49" s="150">
        <f t="shared" si="18"/>
        <v>0</v>
      </c>
      <c r="T49" s="150">
        <f t="shared" si="18"/>
        <v>0</v>
      </c>
      <c r="U49" s="150">
        <f t="shared" si="18"/>
        <v>0</v>
      </c>
      <c r="V49" s="147">
        <f t="shared" si="18"/>
        <v>0.1</v>
      </c>
      <c r="W49" s="148">
        <f t="shared" si="18"/>
        <v>118923.29999999999</v>
      </c>
      <c r="X49" s="151">
        <f t="shared" si="18"/>
        <v>0</v>
      </c>
      <c r="Y49" s="151">
        <f t="shared" si="18"/>
        <v>0</v>
      </c>
      <c r="Z49" s="151">
        <f t="shared" si="18"/>
        <v>48000</v>
      </c>
      <c r="AA49" s="151">
        <f t="shared" si="18"/>
        <v>0</v>
      </c>
      <c r="AB49" s="151">
        <f t="shared" si="18"/>
        <v>7521</v>
      </c>
    </row>
    <row r="50" spans="1:35" s="4" customFormat="1" x14ac:dyDescent="0.2">
      <c r="A50" s="2"/>
      <c r="B50" s="2"/>
      <c r="C50" s="2"/>
      <c r="D50" s="2"/>
      <c r="E50" s="2"/>
      <c r="F50" s="2"/>
      <c r="G50" s="2"/>
      <c r="Q50" s="2"/>
      <c r="R50" s="2"/>
      <c r="T50" s="2"/>
      <c r="U50" s="2"/>
    </row>
    <row r="51" spans="1:35" x14ac:dyDescent="0.2">
      <c r="X51" s="121"/>
      <c r="AB51" s="121"/>
      <c r="AD51" s="4"/>
      <c r="AF51" s="121"/>
      <c r="AI51" s="121">
        <v>-4.5</v>
      </c>
    </row>
    <row r="52" spans="1:35" x14ac:dyDescent="0.2">
      <c r="AD52" s="4"/>
    </row>
  </sheetData>
  <mergeCells count="12">
    <mergeCell ref="X34:AB34"/>
    <mergeCell ref="B3:D3"/>
    <mergeCell ref="E3:F3"/>
    <mergeCell ref="E4:F4"/>
    <mergeCell ref="E19:F19"/>
    <mergeCell ref="E29:F29"/>
    <mergeCell ref="A34:F34"/>
    <mergeCell ref="G34:K34"/>
    <mergeCell ref="L34:P34"/>
    <mergeCell ref="Q34:R34"/>
    <mergeCell ref="S34:U34"/>
    <mergeCell ref="V34:W34"/>
  </mergeCells>
  <pageMargins left="0.7" right="0.7" top="0.75" bottom="0.75" header="0.3" footer="0.3"/>
  <pageSetup orientation="portrait" horizontalDpi="200" verticalDpi="200" r:id="rId1"/>
  <ignoredErrors>
    <ignoredError sqref="M9:N16 P22 N26" formula="1"/>
    <ignoredError sqref="P20:P21" formulaRange="1"/>
  </ignoredError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6F64C-B98D-4CD3-AB1F-F3AEF1D36DBF}">
  <dimension ref="A1:AK52"/>
  <sheetViews>
    <sheetView zoomScale="117" zoomScaleNormal="117" workbookViewId="0">
      <pane ySplit="4" topLeftCell="A12" activePane="bottomLeft" state="frozen"/>
      <selection pane="bottomLeft" activeCell="A49" sqref="A49"/>
    </sheetView>
  </sheetViews>
  <sheetFormatPr baseColWidth="10" defaultColWidth="11.42578125" defaultRowHeight="11.25" x14ac:dyDescent="0.2"/>
  <cols>
    <col min="1" max="3" width="3.7109375" style="2" customWidth="1"/>
    <col min="4" max="4" width="5.7109375" style="2" customWidth="1"/>
    <col min="5" max="5" width="3.7109375" style="2" customWidth="1"/>
    <col min="6" max="10" width="9.28515625" style="2" customWidth="1"/>
    <col min="11" max="11" width="1.7109375" style="2" customWidth="1"/>
    <col min="12" max="17" width="9.28515625" style="2" customWidth="1"/>
    <col min="18" max="18" width="9.28515625" style="4" customWidth="1"/>
    <col min="19" max="28" width="9.28515625" style="2" customWidth="1"/>
    <col min="29" max="16384" width="11.42578125" style="2"/>
  </cols>
  <sheetData>
    <row r="1" spans="1:28" s="4" customFormat="1" x14ac:dyDescent="0.2">
      <c r="A1" s="174" t="s">
        <v>105</v>
      </c>
      <c r="B1" s="175"/>
      <c r="C1" s="175"/>
      <c r="D1" s="175"/>
      <c r="E1" s="176"/>
      <c r="F1" s="176"/>
      <c r="G1" s="37" t="s">
        <v>44</v>
      </c>
      <c r="H1" s="50"/>
      <c r="I1" s="176"/>
      <c r="J1" s="176"/>
      <c r="K1" s="177"/>
      <c r="L1" s="176"/>
      <c r="M1" s="178" t="s">
        <v>103</v>
      </c>
      <c r="N1" s="177">
        <v>2023</v>
      </c>
      <c r="O1" s="3"/>
      <c r="P1" s="3"/>
      <c r="Q1" s="3"/>
    </row>
    <row r="2" spans="1:28" s="4" customFormat="1" x14ac:dyDescent="0.2">
      <c r="A2" s="5" t="s">
        <v>3</v>
      </c>
      <c r="B2" s="6"/>
      <c r="C2" s="6"/>
      <c r="D2" s="6"/>
      <c r="E2" s="6"/>
      <c r="F2" s="7"/>
      <c r="G2" s="2"/>
      <c r="H2" s="2"/>
      <c r="I2" s="2"/>
      <c r="J2" s="8"/>
      <c r="K2" s="8"/>
      <c r="L2" s="3"/>
      <c r="M2" s="3"/>
      <c r="N2" s="3"/>
      <c r="O2" s="3"/>
      <c r="P2" s="3"/>
      <c r="Q2" s="3"/>
    </row>
    <row r="3" spans="1:28" s="4" customFormat="1" x14ac:dyDescent="0.2">
      <c r="A3" s="9" t="s">
        <v>41</v>
      </c>
      <c r="B3" s="189" t="s">
        <v>40</v>
      </c>
      <c r="C3" s="189"/>
      <c r="D3" s="189"/>
      <c r="E3" s="190" t="s">
        <v>82</v>
      </c>
      <c r="F3" s="190"/>
      <c r="G3" s="10"/>
      <c r="H3" s="10"/>
      <c r="I3" s="10"/>
      <c r="J3" s="10"/>
      <c r="K3" s="10"/>
      <c r="L3" s="11"/>
      <c r="M3" s="11"/>
      <c r="N3" s="11"/>
      <c r="O3" s="11"/>
      <c r="P3" s="11"/>
      <c r="Q3" s="11"/>
    </row>
    <row r="4" spans="1:28" s="4" customFormat="1" x14ac:dyDescent="0.2">
      <c r="A4" s="9" t="s">
        <v>42</v>
      </c>
      <c r="B4" s="12" t="s">
        <v>37</v>
      </c>
      <c r="C4" s="12" t="s">
        <v>38</v>
      </c>
      <c r="D4" s="12" t="s">
        <v>39</v>
      </c>
      <c r="E4" s="190" t="s">
        <v>81</v>
      </c>
      <c r="F4" s="190"/>
      <c r="G4" s="9"/>
      <c r="H4" s="9" t="s">
        <v>0</v>
      </c>
      <c r="I4" s="9"/>
      <c r="J4" s="9" t="s">
        <v>5</v>
      </c>
      <c r="K4" s="9"/>
      <c r="L4" s="9" t="s">
        <v>52</v>
      </c>
      <c r="M4" s="9" t="s">
        <v>1</v>
      </c>
      <c r="N4" s="9" t="s">
        <v>2</v>
      </c>
      <c r="O4" s="2"/>
      <c r="P4" s="2"/>
      <c r="Q4" s="2"/>
    </row>
    <row r="5" spans="1:28" s="4" customFormat="1" x14ac:dyDescent="0.2">
      <c r="A5" s="13">
        <v>1</v>
      </c>
      <c r="B5" s="13">
        <v>7</v>
      </c>
      <c r="C5" s="13">
        <v>3</v>
      </c>
      <c r="D5" s="14">
        <v>2023</v>
      </c>
      <c r="E5" s="14" t="s">
        <v>77</v>
      </c>
      <c r="F5" s="167">
        <v>18</v>
      </c>
      <c r="G5" s="15" t="s">
        <v>96</v>
      </c>
      <c r="H5" s="15"/>
      <c r="I5" s="15"/>
      <c r="J5" s="168">
        <v>76743492</v>
      </c>
      <c r="K5" s="14">
        <v>8</v>
      </c>
      <c r="L5" s="16">
        <v>821683</v>
      </c>
      <c r="M5" s="16">
        <f t="shared" ref="M5:M9" si="0">ROUND((L5*19%),0)</f>
        <v>156120</v>
      </c>
      <c r="N5" s="16">
        <f>ROUND((L5+M5),0)</f>
        <v>977803</v>
      </c>
      <c r="O5" s="2"/>
      <c r="P5" s="2"/>
      <c r="Q5" s="2"/>
    </row>
    <row r="6" spans="1:28" s="4" customFormat="1" x14ac:dyDescent="0.2">
      <c r="A6" s="13">
        <v>2</v>
      </c>
      <c r="B6" s="13">
        <v>10</v>
      </c>
      <c r="C6" s="13">
        <v>3</v>
      </c>
      <c r="D6" s="14">
        <v>2023</v>
      </c>
      <c r="E6" s="14" t="s">
        <v>77</v>
      </c>
      <c r="F6" s="167">
        <v>19</v>
      </c>
      <c r="G6" s="15" t="s">
        <v>93</v>
      </c>
      <c r="H6" s="15"/>
      <c r="I6" s="15"/>
      <c r="J6" s="168">
        <v>99147000</v>
      </c>
      <c r="K6" s="14" t="s">
        <v>94</v>
      </c>
      <c r="L6" s="16">
        <v>164551</v>
      </c>
      <c r="M6" s="16">
        <f t="shared" si="0"/>
        <v>31265</v>
      </c>
      <c r="N6" s="16">
        <f t="shared" ref="N6:N9" si="1">ROUND((L6+M6),0)</f>
        <v>195816</v>
      </c>
      <c r="O6" s="2"/>
      <c r="P6" s="2"/>
      <c r="Q6" s="2"/>
    </row>
    <row r="7" spans="1:28" s="4" customFormat="1" x14ac:dyDescent="0.2">
      <c r="A7" s="13">
        <v>3</v>
      </c>
      <c r="B7" s="13">
        <v>21</v>
      </c>
      <c r="C7" s="13">
        <v>3</v>
      </c>
      <c r="D7" s="14">
        <v>2023</v>
      </c>
      <c r="E7" s="14" t="s">
        <v>77</v>
      </c>
      <c r="F7" s="167">
        <v>21</v>
      </c>
      <c r="G7" s="15" t="s">
        <v>96</v>
      </c>
      <c r="H7" s="15"/>
      <c r="I7" s="15"/>
      <c r="J7" s="168">
        <v>76743492</v>
      </c>
      <c r="K7" s="14">
        <v>8</v>
      </c>
      <c r="L7" s="16">
        <v>563464</v>
      </c>
      <c r="M7" s="16">
        <f t="shared" si="0"/>
        <v>107058</v>
      </c>
      <c r="N7" s="16">
        <f t="shared" si="1"/>
        <v>670522</v>
      </c>
      <c r="O7" s="2"/>
      <c r="P7" s="2"/>
      <c r="Q7" s="2"/>
      <c r="R7" s="161"/>
      <c r="S7" s="162"/>
      <c r="T7" s="162"/>
      <c r="U7" s="162"/>
      <c r="V7" s="8"/>
    </row>
    <row r="8" spans="1:28" s="4" customFormat="1" x14ac:dyDescent="0.2">
      <c r="A8" s="13">
        <v>4</v>
      </c>
      <c r="B8" s="13">
        <v>21</v>
      </c>
      <c r="C8" s="13">
        <v>3</v>
      </c>
      <c r="D8" s="14">
        <v>2023</v>
      </c>
      <c r="E8" s="14" t="s">
        <v>77</v>
      </c>
      <c r="F8" s="167">
        <v>22</v>
      </c>
      <c r="G8" s="15" t="s">
        <v>89</v>
      </c>
      <c r="H8" s="15"/>
      <c r="I8" s="15"/>
      <c r="J8" s="168">
        <v>94510000</v>
      </c>
      <c r="K8" s="14">
        <v>1</v>
      </c>
      <c r="L8" s="16">
        <v>737018</v>
      </c>
      <c r="M8" s="16">
        <f t="shared" si="0"/>
        <v>140033</v>
      </c>
      <c r="N8" s="16">
        <f t="shared" si="1"/>
        <v>877051</v>
      </c>
      <c r="O8" s="2"/>
      <c r="P8" s="2"/>
      <c r="Q8" s="2"/>
      <c r="R8" s="8"/>
      <c r="S8" s="2"/>
      <c r="T8" s="163"/>
      <c r="U8" s="2"/>
      <c r="V8" s="164"/>
      <c r="W8" s="8"/>
      <c r="X8" s="165"/>
      <c r="Y8" s="165"/>
      <c r="Z8" s="54"/>
      <c r="AA8" s="165"/>
      <c r="AB8" s="165"/>
    </row>
    <row r="9" spans="1:28" s="4" customFormat="1" x14ac:dyDescent="0.2">
      <c r="A9" s="13">
        <v>5</v>
      </c>
      <c r="B9" s="13">
        <v>21</v>
      </c>
      <c r="C9" s="13">
        <v>3</v>
      </c>
      <c r="D9" s="14">
        <v>2023</v>
      </c>
      <c r="E9" s="14" t="s">
        <v>77</v>
      </c>
      <c r="F9" s="167">
        <v>23</v>
      </c>
      <c r="G9" s="15" t="s">
        <v>89</v>
      </c>
      <c r="H9" s="15"/>
      <c r="I9" s="15"/>
      <c r="J9" s="168">
        <v>94510000</v>
      </c>
      <c r="K9" s="14">
        <v>1</v>
      </c>
      <c r="L9" s="16">
        <v>832405</v>
      </c>
      <c r="M9" s="16">
        <f t="shared" si="0"/>
        <v>158157</v>
      </c>
      <c r="N9" s="16">
        <f t="shared" si="1"/>
        <v>990562</v>
      </c>
      <c r="O9" s="2"/>
      <c r="P9" s="2"/>
      <c r="Q9" s="2"/>
    </row>
    <row r="10" spans="1:28" s="4" customFormat="1" x14ac:dyDescent="0.2">
      <c r="A10" s="1" t="s">
        <v>51</v>
      </c>
      <c r="B10" s="17"/>
      <c r="C10" s="17"/>
      <c r="D10" s="18"/>
      <c r="E10" s="18"/>
      <c r="F10" s="19"/>
      <c r="G10" s="20"/>
      <c r="H10" s="20"/>
      <c r="I10" s="20"/>
      <c r="J10" s="18"/>
      <c r="K10" s="18"/>
      <c r="L10" s="21">
        <f>SUM(L5:L9)</f>
        <v>3119121</v>
      </c>
      <c r="M10" s="21">
        <f>SUM(M5:M9)</f>
        <v>592633</v>
      </c>
      <c r="N10" s="21">
        <f>SUM(N5:N9)</f>
        <v>3711754</v>
      </c>
      <c r="O10" s="2"/>
      <c r="P10" s="2"/>
    </row>
    <row r="11" spans="1:28" s="4" customFormat="1" x14ac:dyDescent="0.2">
      <c r="A11" s="22">
        <v>1</v>
      </c>
      <c r="B11" s="22"/>
      <c r="C11" s="22">
        <v>3</v>
      </c>
      <c r="D11" s="23">
        <v>2023</v>
      </c>
      <c r="E11" s="23" t="s">
        <v>78</v>
      </c>
      <c r="F11" s="22"/>
      <c r="G11" s="24"/>
      <c r="H11" s="24"/>
      <c r="I11" s="24"/>
      <c r="J11" s="169"/>
      <c r="K11" s="23"/>
      <c r="L11" s="170"/>
      <c r="M11" s="25">
        <f t="shared" ref="M11:M12" si="2">ROUND((L11*19%),0)</f>
        <v>0</v>
      </c>
      <c r="N11" s="25">
        <f>ROUND((L11+M11),0)</f>
        <v>0</v>
      </c>
      <c r="O11" s="2"/>
      <c r="P11" s="2"/>
      <c r="Q11" s="2"/>
    </row>
    <row r="12" spans="1:28" s="4" customFormat="1" x14ac:dyDescent="0.2">
      <c r="A12" s="22">
        <v>2</v>
      </c>
      <c r="B12" s="22"/>
      <c r="C12" s="22">
        <v>3</v>
      </c>
      <c r="D12" s="23">
        <v>2023</v>
      </c>
      <c r="E12" s="23" t="s">
        <v>78</v>
      </c>
      <c r="F12" s="22"/>
      <c r="G12" s="24"/>
      <c r="H12" s="24"/>
      <c r="I12" s="24"/>
      <c r="J12" s="169"/>
      <c r="K12" s="23"/>
      <c r="L12" s="170"/>
      <c r="M12" s="25">
        <f t="shared" si="2"/>
        <v>0</v>
      </c>
      <c r="N12" s="25">
        <f t="shared" ref="N12" si="3">ROUND((L12+M12),0)</f>
        <v>0</v>
      </c>
      <c r="O12" s="2"/>
      <c r="P12" s="2"/>
      <c r="Q12" s="2"/>
    </row>
    <row r="13" spans="1:28" s="4" customFormat="1" x14ac:dyDescent="0.2">
      <c r="A13" s="26" t="s">
        <v>50</v>
      </c>
      <c r="B13" s="27"/>
      <c r="C13" s="27"/>
      <c r="D13" s="28"/>
      <c r="E13" s="28"/>
      <c r="F13" s="29"/>
      <c r="G13" s="30"/>
      <c r="H13" s="30"/>
      <c r="I13" s="30"/>
      <c r="J13" s="28"/>
      <c r="K13" s="28"/>
      <c r="L13" s="31">
        <f>SUM(L11:L12)</f>
        <v>0</v>
      </c>
      <c r="M13" s="31">
        <f>SUM(M11:M12)</f>
        <v>0</v>
      </c>
      <c r="N13" s="31">
        <f>SUM(N11:N12)</f>
        <v>0</v>
      </c>
      <c r="O13" s="30"/>
      <c r="P13" s="30"/>
      <c r="Q13" s="2"/>
      <c r="R13" s="2"/>
      <c r="S13" s="2"/>
    </row>
    <row r="14" spans="1:28" s="4" customFormat="1" x14ac:dyDescent="0.2">
      <c r="A14" s="32">
        <v>1</v>
      </c>
      <c r="B14" s="32"/>
      <c r="C14" s="32">
        <v>3</v>
      </c>
      <c r="D14" s="33">
        <v>2023</v>
      </c>
      <c r="E14" s="33" t="s">
        <v>79</v>
      </c>
      <c r="F14" s="34"/>
      <c r="G14" s="35"/>
      <c r="H14" s="35"/>
      <c r="I14" s="35"/>
      <c r="J14" s="171"/>
      <c r="K14" s="33"/>
      <c r="L14" s="36"/>
      <c r="M14" s="36">
        <f t="shared" ref="M14:M15" si="4">ROUND((L14*19%),0)</f>
        <v>0</v>
      </c>
      <c r="N14" s="36">
        <f t="shared" ref="N14:N15" si="5">SUM(L14:M14)</f>
        <v>0</v>
      </c>
      <c r="O14" s="30"/>
      <c r="P14" s="30"/>
      <c r="R14" s="2"/>
    </row>
    <row r="15" spans="1:28" s="4" customFormat="1" x14ac:dyDescent="0.2">
      <c r="A15" s="32">
        <v>2</v>
      </c>
      <c r="B15" s="32"/>
      <c r="C15" s="32">
        <v>3</v>
      </c>
      <c r="D15" s="33">
        <v>2023</v>
      </c>
      <c r="E15" s="33" t="s">
        <v>79</v>
      </c>
      <c r="F15" s="34"/>
      <c r="G15" s="35"/>
      <c r="H15" s="35"/>
      <c r="I15" s="35"/>
      <c r="J15" s="33"/>
      <c r="K15" s="33"/>
      <c r="L15" s="36"/>
      <c r="M15" s="36">
        <f t="shared" si="4"/>
        <v>0</v>
      </c>
      <c r="N15" s="36">
        <f t="shared" si="5"/>
        <v>0</v>
      </c>
      <c r="O15" s="30"/>
      <c r="P15" s="30"/>
      <c r="Q15" s="2"/>
    </row>
    <row r="16" spans="1:28" s="4" customFormat="1" x14ac:dyDescent="0.2">
      <c r="A16" s="37" t="s">
        <v>65</v>
      </c>
      <c r="B16" s="38"/>
      <c r="C16" s="38"/>
      <c r="D16" s="39"/>
      <c r="E16" s="39"/>
      <c r="F16" s="40"/>
      <c r="G16" s="41"/>
      <c r="H16" s="41"/>
      <c r="I16" s="41"/>
      <c r="J16" s="39"/>
      <c r="K16" s="39"/>
      <c r="L16" s="42">
        <f>SUM(L14:L15)</f>
        <v>0</v>
      </c>
      <c r="M16" s="42">
        <f t="shared" ref="M16:N16" si="6">SUM(M14:M15)</f>
        <v>0</v>
      </c>
      <c r="N16" s="42">
        <f t="shared" si="6"/>
        <v>0</v>
      </c>
      <c r="O16" s="30"/>
      <c r="P16" s="30"/>
      <c r="Q16" s="2"/>
    </row>
    <row r="17" spans="1:37" s="4" customFormat="1" x14ac:dyDescent="0.2">
      <c r="A17" s="43" t="s">
        <v>16</v>
      </c>
      <c r="B17" s="44"/>
      <c r="C17" s="44"/>
      <c r="D17" s="44"/>
      <c r="E17" s="44"/>
      <c r="F17" s="45"/>
      <c r="G17" s="45"/>
      <c r="H17" s="45"/>
      <c r="I17" s="45"/>
      <c r="J17" s="46"/>
      <c r="K17" s="46"/>
      <c r="L17" s="47">
        <f>+L10+L13+L16</f>
        <v>3119121</v>
      </c>
      <c r="M17" s="47">
        <f>+M10+M13+M16</f>
        <v>592633</v>
      </c>
      <c r="N17" s="47">
        <f>+N10+N13+N16</f>
        <v>3711754</v>
      </c>
      <c r="O17" s="2"/>
      <c r="P17" s="2"/>
      <c r="Q17" s="2"/>
      <c r="S17" s="48"/>
      <c r="T17" s="49"/>
      <c r="U17" s="50"/>
    </row>
    <row r="18" spans="1:37" x14ac:dyDescent="0.2">
      <c r="S18" s="48"/>
      <c r="T18" s="49"/>
      <c r="U18" s="50"/>
    </row>
    <row r="19" spans="1:37" s="4" customFormat="1" x14ac:dyDescent="0.2">
      <c r="A19" s="51" t="s">
        <v>6</v>
      </c>
      <c r="B19" s="52"/>
      <c r="C19" s="52"/>
      <c r="D19" s="52"/>
      <c r="E19" s="53"/>
      <c r="F19" s="53"/>
      <c r="G19" s="2"/>
      <c r="H19" s="2"/>
      <c r="I19" s="2"/>
      <c r="J19" s="8"/>
      <c r="K19" s="8"/>
      <c r="L19" s="54"/>
      <c r="M19" s="3"/>
      <c r="N19" s="3"/>
      <c r="O19" s="3"/>
      <c r="P19" s="3"/>
      <c r="Q19" s="3"/>
      <c r="S19" s="48"/>
      <c r="T19" s="49"/>
      <c r="U19" s="50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x14ac:dyDescent="0.2">
      <c r="A20" s="55" t="s">
        <v>41</v>
      </c>
      <c r="B20" s="56" t="s">
        <v>37</v>
      </c>
      <c r="C20" s="56" t="s">
        <v>38</v>
      </c>
      <c r="D20" s="56" t="s">
        <v>39</v>
      </c>
      <c r="E20" s="191" t="s">
        <v>71</v>
      </c>
      <c r="F20" s="191"/>
      <c r="G20" s="55"/>
      <c r="H20" s="55" t="s">
        <v>4</v>
      </c>
      <c r="I20" s="55"/>
      <c r="J20" s="55" t="s">
        <v>5</v>
      </c>
      <c r="K20" s="55"/>
      <c r="L20" s="55" t="s">
        <v>52</v>
      </c>
      <c r="M20" s="55" t="s">
        <v>35</v>
      </c>
      <c r="N20" s="55" t="s">
        <v>1</v>
      </c>
      <c r="O20" s="55" t="s">
        <v>61</v>
      </c>
      <c r="P20" s="55" t="s">
        <v>2</v>
      </c>
    </row>
    <row r="21" spans="1:37" x14ac:dyDescent="0.2">
      <c r="A21" s="57">
        <v>1</v>
      </c>
      <c r="B21" s="58">
        <v>27</v>
      </c>
      <c r="C21" s="58">
        <v>3</v>
      </c>
      <c r="D21" s="58">
        <v>2023</v>
      </c>
      <c r="E21" s="59" t="s">
        <v>77</v>
      </c>
      <c r="F21" s="59">
        <v>57145</v>
      </c>
      <c r="G21" s="53" t="s">
        <v>109</v>
      </c>
      <c r="H21" s="60"/>
      <c r="I21" s="53"/>
      <c r="J21" s="61">
        <v>77617950</v>
      </c>
      <c r="K21" s="59">
        <v>7</v>
      </c>
      <c r="L21" s="62">
        <v>25050</v>
      </c>
      <c r="M21" s="62">
        <v>0</v>
      </c>
      <c r="N21" s="62">
        <v>4760</v>
      </c>
      <c r="O21" s="62">
        <v>0</v>
      </c>
      <c r="P21" s="62">
        <f>SUM(L21:O21)</f>
        <v>29810</v>
      </c>
      <c r="R21" s="166"/>
      <c r="S21" s="166"/>
      <c r="T21" s="166"/>
      <c r="U21" s="166"/>
      <c r="V21" s="166"/>
    </row>
    <row r="22" spans="1:37" x14ac:dyDescent="0.2">
      <c r="A22" s="1" t="s">
        <v>49</v>
      </c>
      <c r="B22" s="17"/>
      <c r="C22" s="17"/>
      <c r="D22" s="17"/>
      <c r="E22" s="65"/>
      <c r="F22" s="19"/>
      <c r="G22" s="20"/>
      <c r="H22" s="20"/>
      <c r="I22" s="20"/>
      <c r="J22" s="18"/>
      <c r="K22" s="18"/>
      <c r="L22" s="21">
        <f>SUM(L21:L21)</f>
        <v>25050</v>
      </c>
      <c r="M22" s="21">
        <f>SUM(M21:M21)</f>
        <v>0</v>
      </c>
      <c r="N22" s="21">
        <f>SUM(N21:N21)</f>
        <v>4760</v>
      </c>
      <c r="O22" s="21">
        <f>SUM(O21:O21)</f>
        <v>0</v>
      </c>
      <c r="P22" s="21">
        <f>SUM(P21:P21)</f>
        <v>29810</v>
      </c>
      <c r="R22" s="121"/>
      <c r="S22" s="54"/>
      <c r="U22" s="172"/>
      <c r="V22" s="153"/>
      <c r="W22" s="153"/>
    </row>
    <row r="23" spans="1:37" x14ac:dyDescent="0.2">
      <c r="A23" s="66">
        <v>1</v>
      </c>
      <c r="B23" s="66"/>
      <c r="C23" s="66">
        <v>3</v>
      </c>
      <c r="D23" s="66">
        <v>2023</v>
      </c>
      <c r="E23" s="67" t="s">
        <v>78</v>
      </c>
      <c r="F23" s="68"/>
      <c r="G23" s="69"/>
      <c r="H23" s="70"/>
      <c r="I23" s="69"/>
      <c r="J23" s="71"/>
      <c r="K23" s="72"/>
      <c r="L23" s="73"/>
      <c r="M23" s="74">
        <v>0</v>
      </c>
      <c r="N23" s="74">
        <f t="shared" ref="N23:N24" si="7">ROUND((L23*19%),0)</f>
        <v>0</v>
      </c>
      <c r="O23" s="74">
        <v>0</v>
      </c>
      <c r="P23" s="74">
        <f>SUM(L23:O23)</f>
        <v>0</v>
      </c>
      <c r="R23" s="121"/>
      <c r="S23" s="4"/>
      <c r="U23" s="173"/>
      <c r="V23" s="153"/>
      <c r="W23" s="153"/>
    </row>
    <row r="24" spans="1:37" x14ac:dyDescent="0.2">
      <c r="A24" s="66">
        <v>2</v>
      </c>
      <c r="B24" s="66"/>
      <c r="C24" s="66">
        <v>3</v>
      </c>
      <c r="D24" s="66">
        <v>2023</v>
      </c>
      <c r="E24" s="67" t="s">
        <v>78</v>
      </c>
      <c r="F24" s="68"/>
      <c r="G24" s="69"/>
      <c r="H24" s="70"/>
      <c r="I24" s="69"/>
      <c r="J24" s="71"/>
      <c r="K24" s="72"/>
      <c r="L24" s="74"/>
      <c r="M24" s="74">
        <v>0</v>
      </c>
      <c r="N24" s="74">
        <f t="shared" si="7"/>
        <v>0</v>
      </c>
      <c r="O24" s="74">
        <v>0</v>
      </c>
      <c r="P24" s="74">
        <f>SUM(L24:O24)</f>
        <v>0</v>
      </c>
      <c r="R24" s="121"/>
      <c r="U24" s="173"/>
      <c r="V24" s="153"/>
      <c r="W24" s="153"/>
    </row>
    <row r="25" spans="1:37" x14ac:dyDescent="0.2">
      <c r="A25" s="26" t="s">
        <v>48</v>
      </c>
      <c r="B25" s="27"/>
      <c r="C25" s="27"/>
      <c r="D25" s="27"/>
      <c r="E25" s="75"/>
      <c r="F25" s="29"/>
      <c r="G25" s="30"/>
      <c r="H25" s="30"/>
      <c r="I25" s="30"/>
      <c r="J25" s="28"/>
      <c r="K25" s="28"/>
      <c r="L25" s="31">
        <f>SUM(L23:L24)</f>
        <v>0</v>
      </c>
      <c r="M25" s="31">
        <f>SUM(M23:M24)</f>
        <v>0</v>
      </c>
      <c r="N25" s="31">
        <f>SUM(N23:N24)</f>
        <v>0</v>
      </c>
      <c r="O25" s="31">
        <f>SUM(O23:O24)</f>
        <v>0</v>
      </c>
      <c r="P25" s="31">
        <f>SUM(P23:P24)</f>
        <v>0</v>
      </c>
      <c r="R25" s="121"/>
      <c r="U25" s="173"/>
      <c r="V25" s="153"/>
      <c r="W25" s="153"/>
    </row>
    <row r="26" spans="1:37" x14ac:dyDescent="0.2">
      <c r="A26" s="76" t="s">
        <v>17</v>
      </c>
      <c r="B26" s="56"/>
      <c r="C26" s="56"/>
      <c r="D26" s="56"/>
      <c r="E26" s="56"/>
      <c r="F26" s="77"/>
      <c r="G26" s="77"/>
      <c r="H26" s="77"/>
      <c r="I26" s="77"/>
      <c r="J26" s="78"/>
      <c r="K26" s="78"/>
      <c r="L26" s="79">
        <f>+L22+L25</f>
        <v>25050</v>
      </c>
      <c r="M26" s="79">
        <f>+M22-M25</f>
        <v>0</v>
      </c>
      <c r="N26" s="79">
        <f>N22+N25</f>
        <v>4760</v>
      </c>
      <c r="O26" s="79">
        <f>+O22-O25</f>
        <v>0</v>
      </c>
      <c r="P26" s="79">
        <f>+P22+P25</f>
        <v>29810</v>
      </c>
      <c r="R26" s="121"/>
      <c r="S26" s="4"/>
      <c r="U26" s="173"/>
      <c r="V26" s="153"/>
      <c r="W26" s="153"/>
    </row>
    <row r="27" spans="1:37" x14ac:dyDescent="0.2">
      <c r="R27" s="121"/>
      <c r="S27" s="121"/>
      <c r="T27" s="121"/>
      <c r="U27" s="173"/>
      <c r="V27" s="153"/>
      <c r="W27" s="154"/>
    </row>
    <row r="28" spans="1:37" x14ac:dyDescent="0.2">
      <c r="A28" s="125" t="s">
        <v>7</v>
      </c>
      <c r="B28" s="126"/>
      <c r="C28" s="126"/>
      <c r="D28" s="126"/>
      <c r="E28" s="126"/>
      <c r="F28" s="127"/>
      <c r="J28" s="8"/>
      <c r="K28" s="8"/>
      <c r="L28" s="3"/>
      <c r="M28" s="3"/>
      <c r="N28" s="3"/>
      <c r="O28" s="3"/>
      <c r="P28" s="3"/>
      <c r="Q28" s="3"/>
      <c r="R28" s="2"/>
      <c r="U28" s="4"/>
      <c r="V28" s="156"/>
      <c r="W28" s="155"/>
    </row>
    <row r="29" spans="1:37" x14ac:dyDescent="0.2">
      <c r="A29" s="128" t="s">
        <v>41</v>
      </c>
      <c r="B29" s="129" t="s">
        <v>70</v>
      </c>
      <c r="C29" s="129" t="s">
        <v>38</v>
      </c>
      <c r="D29" s="129" t="s">
        <v>39</v>
      </c>
      <c r="E29" s="192" t="s">
        <v>43</v>
      </c>
      <c r="F29" s="192"/>
      <c r="G29" s="128"/>
      <c r="H29" s="128" t="s">
        <v>8</v>
      </c>
      <c r="I29" s="128"/>
      <c r="J29" s="128" t="s">
        <v>5</v>
      </c>
      <c r="K29" s="128"/>
      <c r="L29" s="128" t="s">
        <v>9</v>
      </c>
      <c r="M29" s="128" t="s">
        <v>97</v>
      </c>
      <c r="N29" s="128" t="s">
        <v>10</v>
      </c>
      <c r="R29" s="2"/>
      <c r="U29" s="4"/>
      <c r="V29" s="156"/>
      <c r="W29" s="156"/>
    </row>
    <row r="30" spans="1:37" x14ac:dyDescent="0.2">
      <c r="A30" s="130">
        <v>1</v>
      </c>
      <c r="B30" s="131"/>
      <c r="C30" s="131">
        <v>3</v>
      </c>
      <c r="D30" s="131">
        <v>2023</v>
      </c>
      <c r="E30" s="132" t="s">
        <v>80</v>
      </c>
      <c r="F30" s="133"/>
      <c r="G30" s="137"/>
      <c r="H30" s="138"/>
      <c r="I30" s="138"/>
      <c r="J30" s="139"/>
      <c r="K30" s="132"/>
      <c r="L30" s="140"/>
      <c r="M30" s="141">
        <f>+L30*0.13</f>
        <v>0</v>
      </c>
      <c r="N30" s="141">
        <f>+L30-M30</f>
        <v>0</v>
      </c>
      <c r="R30" s="2"/>
      <c r="S30" s="4"/>
      <c r="U30" s="4"/>
      <c r="V30" s="156"/>
      <c r="W30" s="155"/>
    </row>
    <row r="31" spans="1:37" x14ac:dyDescent="0.2">
      <c r="A31" s="130">
        <v>2</v>
      </c>
      <c r="B31" s="131"/>
      <c r="C31" s="131">
        <v>3</v>
      </c>
      <c r="D31" s="131">
        <v>2023</v>
      </c>
      <c r="E31" s="132" t="s">
        <v>80</v>
      </c>
      <c r="F31" s="133"/>
      <c r="G31" s="137"/>
      <c r="H31" s="138"/>
      <c r="I31" s="138"/>
      <c r="J31" s="139"/>
      <c r="K31" s="132"/>
      <c r="L31" s="140"/>
      <c r="M31" s="141">
        <f>+L31*0.13</f>
        <v>0</v>
      </c>
      <c r="N31" s="141">
        <f t="shared" ref="N31" si="8">+L31-M31</f>
        <v>0</v>
      </c>
      <c r="R31" s="121"/>
      <c r="S31" s="4"/>
      <c r="U31" s="173"/>
      <c r="V31" s="153"/>
      <c r="W31" s="154"/>
    </row>
    <row r="32" spans="1:37" x14ac:dyDescent="0.2">
      <c r="A32" s="134" t="s">
        <v>18</v>
      </c>
      <c r="B32" s="135"/>
      <c r="C32" s="135"/>
      <c r="D32" s="135"/>
      <c r="E32" s="129"/>
      <c r="F32" s="136"/>
      <c r="G32" s="136"/>
      <c r="H32" s="136"/>
      <c r="I32" s="136"/>
      <c r="J32" s="142"/>
      <c r="K32" s="142"/>
      <c r="L32" s="143">
        <f>SUM(L30:L31)</f>
        <v>0</v>
      </c>
      <c r="M32" s="143">
        <f>SUM(M30:M31)</f>
        <v>0</v>
      </c>
      <c r="N32" s="143">
        <f>SUM(N30:N31)</f>
        <v>0</v>
      </c>
      <c r="R32" s="2"/>
      <c r="U32" s="4"/>
      <c r="V32" s="156"/>
      <c r="W32" s="155"/>
    </row>
    <row r="34" spans="1:28" x14ac:dyDescent="0.2">
      <c r="A34" s="193" t="s">
        <v>100</v>
      </c>
      <c r="B34" s="193"/>
      <c r="C34" s="193"/>
      <c r="D34" s="193"/>
      <c r="E34" s="193"/>
      <c r="F34" s="193"/>
      <c r="G34" s="183" t="s">
        <v>55</v>
      </c>
      <c r="H34" s="183"/>
      <c r="I34" s="183"/>
      <c r="J34" s="183"/>
      <c r="K34" s="183"/>
      <c r="L34" s="184" t="s">
        <v>83</v>
      </c>
      <c r="M34" s="184"/>
      <c r="N34" s="184"/>
      <c r="O34" s="184"/>
      <c r="P34" s="184"/>
      <c r="Q34" s="185" t="s">
        <v>75</v>
      </c>
      <c r="R34" s="185"/>
      <c r="S34" s="186" t="s">
        <v>73</v>
      </c>
      <c r="T34" s="186"/>
      <c r="U34" s="186"/>
      <c r="V34" s="187" t="s">
        <v>12</v>
      </c>
      <c r="W34" s="187"/>
      <c r="X34" s="188" t="s">
        <v>69</v>
      </c>
      <c r="Y34" s="188"/>
      <c r="Z34" s="188"/>
      <c r="AA34" s="188"/>
      <c r="AB34" s="188"/>
    </row>
    <row r="35" spans="1:28" x14ac:dyDescent="0.2">
      <c r="A35" s="83" t="s">
        <v>11</v>
      </c>
      <c r="B35" s="84" t="s">
        <v>47</v>
      </c>
      <c r="C35" s="80"/>
      <c r="D35" s="80"/>
      <c r="E35" s="80"/>
      <c r="F35" s="81">
        <f>+L17</f>
        <v>3119121</v>
      </c>
      <c r="G35" s="82" t="s">
        <v>53</v>
      </c>
      <c r="H35" s="85" t="s">
        <v>52</v>
      </c>
      <c r="I35" s="85" t="s">
        <v>1</v>
      </c>
      <c r="J35" s="85" t="s">
        <v>2</v>
      </c>
      <c r="K35" s="86"/>
      <c r="L35" s="88" t="s">
        <v>52</v>
      </c>
      <c r="M35" s="89" t="s">
        <v>35</v>
      </c>
      <c r="N35" s="88" t="s">
        <v>1</v>
      </c>
      <c r="O35" s="89" t="s">
        <v>67</v>
      </c>
      <c r="P35" s="89" t="s">
        <v>2</v>
      </c>
      <c r="Q35" s="157" t="s">
        <v>76</v>
      </c>
      <c r="R35" s="157" t="s">
        <v>60</v>
      </c>
      <c r="S35" s="90" t="s">
        <v>9</v>
      </c>
      <c r="T35" s="91" t="s">
        <v>74</v>
      </c>
      <c r="U35" s="92" t="s">
        <v>10</v>
      </c>
      <c r="V35" s="87" t="s">
        <v>56</v>
      </c>
      <c r="W35" s="87" t="s">
        <v>57</v>
      </c>
      <c r="X35" s="122" t="s">
        <v>58</v>
      </c>
      <c r="Y35" s="122" t="s">
        <v>68</v>
      </c>
      <c r="Z35" s="122" t="s">
        <v>62</v>
      </c>
      <c r="AA35" s="122" t="s">
        <v>72</v>
      </c>
      <c r="AB35" s="122" t="s">
        <v>59</v>
      </c>
    </row>
    <row r="36" spans="1:28" x14ac:dyDescent="0.2">
      <c r="A36" s="83" t="s">
        <v>11</v>
      </c>
      <c r="B36" s="84" t="s">
        <v>13</v>
      </c>
      <c r="C36" s="84"/>
      <c r="D36" s="84"/>
      <c r="E36" s="84"/>
      <c r="F36" s="81">
        <f>+M10</f>
        <v>592633</v>
      </c>
      <c r="G36" s="86" t="s">
        <v>22</v>
      </c>
      <c r="H36" s="93">
        <v>362422</v>
      </c>
      <c r="I36" s="93">
        <f t="shared" ref="I36:I47" si="9">ROUND((H36*0.19),0)</f>
        <v>68860</v>
      </c>
      <c r="J36" s="93">
        <f>SUM(H36:I36)</f>
        <v>431282</v>
      </c>
      <c r="K36" s="86"/>
      <c r="L36" s="96">
        <v>206080</v>
      </c>
      <c r="M36" s="96">
        <v>0</v>
      </c>
      <c r="N36" s="96">
        <v>39155</v>
      </c>
      <c r="O36" s="97">
        <v>0</v>
      </c>
      <c r="P36" s="97">
        <f>SUM(L36:O36)</f>
        <v>245235</v>
      </c>
      <c r="Q36" s="158">
        <v>0</v>
      </c>
      <c r="R36" s="158">
        <v>0</v>
      </c>
      <c r="S36" s="98">
        <v>0</v>
      </c>
      <c r="T36" s="98">
        <f>+S36*0.13</f>
        <v>0</v>
      </c>
      <c r="U36" s="98">
        <f t="shared" ref="U36:U47" si="10">+S36-T36</f>
        <v>0</v>
      </c>
      <c r="V36" s="94">
        <v>0.1</v>
      </c>
      <c r="W36" s="95">
        <f t="shared" ref="W36:W47" si="11">ROUND((H36*V36),2)</f>
        <v>36242.199999999997</v>
      </c>
      <c r="X36" s="123">
        <v>0</v>
      </c>
      <c r="Y36" s="123">
        <v>0</v>
      </c>
      <c r="Z36" s="123">
        <v>48000</v>
      </c>
      <c r="AA36" s="123">
        <v>0</v>
      </c>
      <c r="AB36" s="123">
        <v>30084</v>
      </c>
    </row>
    <row r="37" spans="1:28" x14ac:dyDescent="0.2">
      <c r="A37" s="83" t="s">
        <v>11</v>
      </c>
      <c r="B37" s="99" t="s">
        <v>45</v>
      </c>
      <c r="C37" s="84"/>
      <c r="D37" s="84"/>
      <c r="E37" s="84"/>
      <c r="F37" s="100">
        <f>+M13</f>
        <v>0</v>
      </c>
      <c r="G37" s="86" t="s">
        <v>23</v>
      </c>
      <c r="H37" s="93">
        <v>727324</v>
      </c>
      <c r="I37" s="93">
        <v>138191</v>
      </c>
      <c r="J37" s="93">
        <f t="shared" ref="J37:J47" si="12">SUM(H37:I37)</f>
        <v>865515</v>
      </c>
      <c r="K37" s="86"/>
      <c r="L37" s="96">
        <v>24120</v>
      </c>
      <c r="M37" s="96">
        <v>0</v>
      </c>
      <c r="N37" s="96">
        <v>4583</v>
      </c>
      <c r="O37" s="97">
        <v>0</v>
      </c>
      <c r="P37" s="97">
        <f t="shared" ref="P37:P47" si="13">SUM(L37:O37)</f>
        <v>28703</v>
      </c>
      <c r="Q37" s="158">
        <v>0</v>
      </c>
      <c r="R37" s="158">
        <v>0</v>
      </c>
      <c r="S37" s="98">
        <v>0</v>
      </c>
      <c r="T37" s="98">
        <f t="shared" ref="T37:T47" si="14">+S37*0.13</f>
        <v>0</v>
      </c>
      <c r="U37" s="98">
        <f t="shared" si="10"/>
        <v>0</v>
      </c>
      <c r="V37" s="94">
        <v>0.1</v>
      </c>
      <c r="W37" s="95">
        <f t="shared" si="11"/>
        <v>72732.399999999994</v>
      </c>
      <c r="X37" s="123">
        <v>0</v>
      </c>
      <c r="Y37" s="123">
        <v>0</v>
      </c>
      <c r="Z37" s="123">
        <v>48000</v>
      </c>
      <c r="AA37" s="123">
        <v>0</v>
      </c>
      <c r="AB37" s="123">
        <v>0</v>
      </c>
    </row>
    <row r="38" spans="1:28" s="4" customFormat="1" x14ac:dyDescent="0.2">
      <c r="A38" s="83" t="s">
        <v>11</v>
      </c>
      <c r="B38" s="101" t="s">
        <v>64</v>
      </c>
      <c r="C38" s="101"/>
      <c r="D38" s="84"/>
      <c r="E38" s="84"/>
      <c r="F38" s="102">
        <v>0</v>
      </c>
      <c r="G38" s="86" t="s">
        <v>24</v>
      </c>
      <c r="H38" s="93">
        <v>3119121</v>
      </c>
      <c r="I38" s="93">
        <f t="shared" si="9"/>
        <v>592633</v>
      </c>
      <c r="J38" s="93">
        <f t="shared" si="12"/>
        <v>3711754</v>
      </c>
      <c r="K38" s="86"/>
      <c r="L38" s="96">
        <v>25050</v>
      </c>
      <c r="M38" s="96">
        <v>0</v>
      </c>
      <c r="N38" s="96">
        <v>4760</v>
      </c>
      <c r="O38" s="97">
        <v>0</v>
      </c>
      <c r="P38" s="97">
        <f t="shared" si="13"/>
        <v>29810</v>
      </c>
      <c r="Q38" s="158">
        <v>0</v>
      </c>
      <c r="R38" s="158">
        <v>0</v>
      </c>
      <c r="S38" s="98">
        <v>0</v>
      </c>
      <c r="T38" s="98">
        <f t="shared" si="14"/>
        <v>0</v>
      </c>
      <c r="U38" s="98">
        <f t="shared" si="10"/>
        <v>0</v>
      </c>
      <c r="V38" s="94">
        <v>0.1</v>
      </c>
      <c r="W38" s="95">
        <f t="shared" si="11"/>
        <v>311912.09999999998</v>
      </c>
      <c r="X38" s="123">
        <v>0</v>
      </c>
      <c r="Y38" s="123">
        <v>0</v>
      </c>
      <c r="Z38" s="123">
        <v>48000</v>
      </c>
      <c r="AA38" s="123">
        <v>0</v>
      </c>
      <c r="AB38" s="123">
        <v>0</v>
      </c>
    </row>
    <row r="39" spans="1:28" s="4" customFormat="1" x14ac:dyDescent="0.2">
      <c r="A39" s="83" t="s">
        <v>11</v>
      </c>
      <c r="B39" s="84" t="s">
        <v>63</v>
      </c>
      <c r="C39" s="84"/>
      <c r="D39" s="84"/>
      <c r="E39" s="84"/>
      <c r="F39" s="103">
        <f>SUM(F36:F37)</f>
        <v>592633</v>
      </c>
      <c r="G39" s="86" t="s">
        <v>25</v>
      </c>
      <c r="H39" s="93">
        <v>0</v>
      </c>
      <c r="I39" s="93">
        <f t="shared" si="9"/>
        <v>0</v>
      </c>
      <c r="J39" s="93">
        <f t="shared" si="12"/>
        <v>0</v>
      </c>
      <c r="K39" s="93"/>
      <c r="L39" s="96">
        <v>0</v>
      </c>
      <c r="M39" s="96">
        <v>0</v>
      </c>
      <c r="N39" s="96">
        <v>0</v>
      </c>
      <c r="O39" s="97">
        <v>0</v>
      </c>
      <c r="P39" s="97">
        <f t="shared" si="13"/>
        <v>0</v>
      </c>
      <c r="Q39" s="158">
        <v>0</v>
      </c>
      <c r="R39" s="158">
        <v>0</v>
      </c>
      <c r="S39" s="98">
        <v>0</v>
      </c>
      <c r="T39" s="98">
        <f t="shared" si="14"/>
        <v>0</v>
      </c>
      <c r="U39" s="98">
        <f t="shared" si="10"/>
        <v>0</v>
      </c>
      <c r="V39" s="94"/>
      <c r="W39" s="95">
        <f t="shared" si="11"/>
        <v>0</v>
      </c>
      <c r="X39" s="123">
        <v>0</v>
      </c>
      <c r="Y39" s="123">
        <v>0</v>
      </c>
      <c r="Z39" s="123">
        <v>0</v>
      </c>
      <c r="AA39" s="123">
        <v>0</v>
      </c>
      <c r="AB39" s="123">
        <v>0</v>
      </c>
    </row>
    <row r="40" spans="1:28" s="4" customFormat="1" x14ac:dyDescent="0.2">
      <c r="A40" s="83" t="s">
        <v>11</v>
      </c>
      <c r="B40" s="99" t="s">
        <v>14</v>
      </c>
      <c r="C40" s="84"/>
      <c r="D40" s="84"/>
      <c r="E40" s="84"/>
      <c r="F40" s="100">
        <f>-N22</f>
        <v>-4760</v>
      </c>
      <c r="G40" s="86" t="s">
        <v>26</v>
      </c>
      <c r="H40" s="93">
        <v>0</v>
      </c>
      <c r="I40" s="93">
        <f t="shared" si="9"/>
        <v>0</v>
      </c>
      <c r="J40" s="93">
        <f t="shared" si="12"/>
        <v>0</v>
      </c>
      <c r="K40" s="93"/>
      <c r="L40" s="96">
        <v>0</v>
      </c>
      <c r="M40" s="96">
        <v>0</v>
      </c>
      <c r="N40" s="96">
        <v>0</v>
      </c>
      <c r="O40" s="97">
        <v>0</v>
      </c>
      <c r="P40" s="97">
        <f t="shared" si="13"/>
        <v>0</v>
      </c>
      <c r="Q40" s="158">
        <v>0</v>
      </c>
      <c r="R40" s="158">
        <v>0</v>
      </c>
      <c r="S40" s="98">
        <v>0</v>
      </c>
      <c r="T40" s="98">
        <f t="shared" si="14"/>
        <v>0</v>
      </c>
      <c r="U40" s="98">
        <f t="shared" si="10"/>
        <v>0</v>
      </c>
      <c r="V40" s="94"/>
      <c r="W40" s="95">
        <f t="shared" si="11"/>
        <v>0</v>
      </c>
      <c r="X40" s="123">
        <v>0</v>
      </c>
      <c r="Y40" s="123">
        <v>0</v>
      </c>
      <c r="Z40" s="123">
        <v>0</v>
      </c>
      <c r="AA40" s="123">
        <v>0</v>
      </c>
      <c r="AB40" s="123">
        <v>0</v>
      </c>
    </row>
    <row r="41" spans="1:28" s="4" customFormat="1" x14ac:dyDescent="0.2">
      <c r="A41" s="83" t="s">
        <v>11</v>
      </c>
      <c r="B41" s="84" t="s">
        <v>46</v>
      </c>
      <c r="C41" s="101"/>
      <c r="D41" s="101"/>
      <c r="E41" s="101"/>
      <c r="F41" s="108">
        <f>-N25</f>
        <v>0</v>
      </c>
      <c r="G41" s="86" t="s">
        <v>27</v>
      </c>
      <c r="H41" s="93">
        <v>0</v>
      </c>
      <c r="I41" s="93">
        <f t="shared" si="9"/>
        <v>0</v>
      </c>
      <c r="J41" s="93">
        <f t="shared" si="12"/>
        <v>0</v>
      </c>
      <c r="K41" s="93"/>
      <c r="L41" s="96">
        <v>0</v>
      </c>
      <c r="M41" s="96">
        <v>0</v>
      </c>
      <c r="N41" s="96">
        <v>0</v>
      </c>
      <c r="O41" s="97">
        <v>0</v>
      </c>
      <c r="P41" s="97">
        <f t="shared" si="13"/>
        <v>0</v>
      </c>
      <c r="Q41" s="158">
        <v>0</v>
      </c>
      <c r="R41" s="158">
        <v>0</v>
      </c>
      <c r="S41" s="98">
        <v>0</v>
      </c>
      <c r="T41" s="98">
        <f t="shared" si="14"/>
        <v>0</v>
      </c>
      <c r="U41" s="98">
        <f t="shared" si="10"/>
        <v>0</v>
      </c>
      <c r="V41" s="94"/>
      <c r="W41" s="95">
        <f t="shared" si="11"/>
        <v>0</v>
      </c>
      <c r="X41" s="123">
        <v>0</v>
      </c>
      <c r="Y41" s="123">
        <v>0</v>
      </c>
      <c r="Z41" s="123">
        <v>0</v>
      </c>
      <c r="AA41" s="123">
        <v>0</v>
      </c>
      <c r="AB41" s="123">
        <v>0</v>
      </c>
    </row>
    <row r="42" spans="1:28" s="4" customFormat="1" x14ac:dyDescent="0.2">
      <c r="A42" s="83" t="s">
        <v>11</v>
      </c>
      <c r="B42" s="84" t="s">
        <v>15</v>
      </c>
      <c r="C42" s="84"/>
      <c r="D42" s="84"/>
      <c r="E42" s="84"/>
      <c r="F42" s="81">
        <f>SUM(F39:F41)</f>
        <v>587873</v>
      </c>
      <c r="G42" s="86" t="s">
        <v>28</v>
      </c>
      <c r="H42" s="93">
        <v>0</v>
      </c>
      <c r="I42" s="93">
        <f t="shared" si="9"/>
        <v>0</v>
      </c>
      <c r="J42" s="93">
        <f t="shared" si="12"/>
        <v>0</v>
      </c>
      <c r="K42" s="93"/>
      <c r="L42" s="96">
        <v>0</v>
      </c>
      <c r="M42" s="96">
        <v>0</v>
      </c>
      <c r="N42" s="96">
        <v>0</v>
      </c>
      <c r="O42" s="97">
        <v>0</v>
      </c>
      <c r="P42" s="97">
        <f t="shared" si="13"/>
        <v>0</v>
      </c>
      <c r="Q42" s="158">
        <v>0</v>
      </c>
      <c r="R42" s="158">
        <v>0</v>
      </c>
      <c r="S42" s="98">
        <v>0</v>
      </c>
      <c r="T42" s="98">
        <f t="shared" si="14"/>
        <v>0</v>
      </c>
      <c r="U42" s="98">
        <f t="shared" si="10"/>
        <v>0</v>
      </c>
      <c r="V42" s="94"/>
      <c r="W42" s="95">
        <f t="shared" si="11"/>
        <v>0</v>
      </c>
      <c r="X42" s="123">
        <v>0</v>
      </c>
      <c r="Y42" s="123">
        <v>0</v>
      </c>
      <c r="Z42" s="123">
        <v>0</v>
      </c>
      <c r="AA42" s="123">
        <v>0</v>
      </c>
      <c r="AB42" s="123">
        <v>0</v>
      </c>
    </row>
    <row r="43" spans="1:28" s="4" customFormat="1" x14ac:dyDescent="0.2">
      <c r="A43" s="83" t="s">
        <v>11</v>
      </c>
      <c r="B43" s="84" t="s">
        <v>34</v>
      </c>
      <c r="C43" s="84"/>
      <c r="D43" s="84"/>
      <c r="E43" s="84"/>
      <c r="F43" s="81">
        <f>+M32</f>
        <v>0</v>
      </c>
      <c r="G43" s="86" t="s">
        <v>29</v>
      </c>
      <c r="H43" s="93">
        <v>0</v>
      </c>
      <c r="I43" s="93">
        <f t="shared" si="9"/>
        <v>0</v>
      </c>
      <c r="J43" s="93">
        <f t="shared" si="12"/>
        <v>0</v>
      </c>
      <c r="K43" s="93"/>
      <c r="L43" s="96">
        <v>0</v>
      </c>
      <c r="M43" s="96">
        <v>0</v>
      </c>
      <c r="N43" s="96">
        <v>0</v>
      </c>
      <c r="O43" s="97">
        <v>0</v>
      </c>
      <c r="P43" s="97">
        <f t="shared" si="13"/>
        <v>0</v>
      </c>
      <c r="Q43" s="158">
        <v>0</v>
      </c>
      <c r="R43" s="158">
        <v>0</v>
      </c>
      <c r="S43" s="98">
        <v>0</v>
      </c>
      <c r="T43" s="98">
        <f t="shared" si="14"/>
        <v>0</v>
      </c>
      <c r="U43" s="98">
        <f t="shared" si="10"/>
        <v>0</v>
      </c>
      <c r="V43" s="94"/>
      <c r="W43" s="95">
        <f t="shared" si="11"/>
        <v>0</v>
      </c>
      <c r="X43" s="123">
        <v>0</v>
      </c>
      <c r="Y43" s="123">
        <v>0</v>
      </c>
      <c r="Z43" s="123">
        <v>0</v>
      </c>
      <c r="AA43" s="123">
        <v>0</v>
      </c>
      <c r="AB43" s="123">
        <v>0</v>
      </c>
    </row>
    <row r="44" spans="1:28" s="4" customFormat="1" x14ac:dyDescent="0.2">
      <c r="A44" s="83" t="s">
        <v>11</v>
      </c>
      <c r="B44" s="84" t="s">
        <v>12</v>
      </c>
      <c r="C44" s="84"/>
      <c r="D44" s="104">
        <v>0.05</v>
      </c>
      <c r="E44" s="84"/>
      <c r="F44" s="81">
        <f>ROUND((L17*D44),0)</f>
        <v>155956</v>
      </c>
      <c r="G44" s="86" t="s">
        <v>30</v>
      </c>
      <c r="H44" s="93">
        <v>0</v>
      </c>
      <c r="I44" s="93">
        <f t="shared" si="9"/>
        <v>0</v>
      </c>
      <c r="J44" s="93">
        <f t="shared" si="12"/>
        <v>0</v>
      </c>
      <c r="K44" s="93"/>
      <c r="L44" s="96">
        <v>0</v>
      </c>
      <c r="M44" s="96">
        <v>0</v>
      </c>
      <c r="N44" s="96">
        <v>0</v>
      </c>
      <c r="O44" s="97">
        <v>0</v>
      </c>
      <c r="P44" s="97">
        <f t="shared" si="13"/>
        <v>0</v>
      </c>
      <c r="Q44" s="158">
        <v>0</v>
      </c>
      <c r="R44" s="158">
        <v>0</v>
      </c>
      <c r="S44" s="98">
        <v>0</v>
      </c>
      <c r="T44" s="98">
        <f t="shared" si="14"/>
        <v>0</v>
      </c>
      <c r="U44" s="98">
        <f t="shared" si="10"/>
        <v>0</v>
      </c>
      <c r="V44" s="94"/>
      <c r="W44" s="95">
        <f t="shared" si="11"/>
        <v>0</v>
      </c>
      <c r="X44" s="123">
        <v>0</v>
      </c>
      <c r="Y44" s="123">
        <v>0</v>
      </c>
      <c r="Z44" s="123">
        <v>0</v>
      </c>
      <c r="AA44" s="123">
        <v>0</v>
      </c>
      <c r="AB44" s="123">
        <v>0</v>
      </c>
    </row>
    <row r="45" spans="1:28" s="4" customFormat="1" x14ac:dyDescent="0.2">
      <c r="A45" s="83" t="s">
        <v>11</v>
      </c>
      <c r="B45" s="105" t="s">
        <v>66</v>
      </c>
      <c r="C45" s="106"/>
      <c r="D45" s="106"/>
      <c r="E45" s="84"/>
      <c r="F45" s="107">
        <v>0</v>
      </c>
      <c r="G45" s="86" t="s">
        <v>31</v>
      </c>
      <c r="H45" s="93">
        <v>0</v>
      </c>
      <c r="I45" s="93">
        <f t="shared" si="9"/>
        <v>0</v>
      </c>
      <c r="J45" s="93">
        <f t="shared" si="12"/>
        <v>0</v>
      </c>
      <c r="K45" s="93"/>
      <c r="L45" s="96">
        <v>0</v>
      </c>
      <c r="M45" s="96">
        <v>0</v>
      </c>
      <c r="N45" s="96">
        <v>0</v>
      </c>
      <c r="O45" s="97">
        <v>0</v>
      </c>
      <c r="P45" s="97">
        <f t="shared" si="13"/>
        <v>0</v>
      </c>
      <c r="Q45" s="158">
        <v>0</v>
      </c>
      <c r="R45" s="158">
        <v>0</v>
      </c>
      <c r="S45" s="98">
        <v>0</v>
      </c>
      <c r="T45" s="98">
        <f t="shared" si="14"/>
        <v>0</v>
      </c>
      <c r="U45" s="98">
        <f t="shared" si="10"/>
        <v>0</v>
      </c>
      <c r="V45" s="94"/>
      <c r="W45" s="95">
        <f t="shared" si="11"/>
        <v>0</v>
      </c>
      <c r="X45" s="123">
        <v>0</v>
      </c>
      <c r="Y45" s="123">
        <v>0</v>
      </c>
      <c r="Z45" s="123">
        <v>0</v>
      </c>
      <c r="AA45" s="123">
        <v>0</v>
      </c>
      <c r="AB45" s="123">
        <v>0</v>
      </c>
    </row>
    <row r="46" spans="1:28" s="4" customFormat="1" x14ac:dyDescent="0.2">
      <c r="A46" s="83" t="s">
        <v>11</v>
      </c>
      <c r="B46" s="106" t="s">
        <v>19</v>
      </c>
      <c r="C46" s="106"/>
      <c r="D46" s="106"/>
      <c r="E46" s="84"/>
      <c r="F46" s="108">
        <f>SUM(F42:F44)</f>
        <v>743829</v>
      </c>
      <c r="G46" s="86" t="s">
        <v>32</v>
      </c>
      <c r="H46" s="93">
        <v>0</v>
      </c>
      <c r="I46" s="93">
        <f t="shared" si="9"/>
        <v>0</v>
      </c>
      <c r="J46" s="93">
        <f t="shared" si="12"/>
        <v>0</v>
      </c>
      <c r="K46" s="93"/>
      <c r="L46" s="96">
        <v>0</v>
      </c>
      <c r="M46" s="96">
        <v>0</v>
      </c>
      <c r="N46" s="96">
        <v>0</v>
      </c>
      <c r="O46" s="97">
        <v>0</v>
      </c>
      <c r="P46" s="97">
        <f t="shared" si="13"/>
        <v>0</v>
      </c>
      <c r="Q46" s="158">
        <v>0</v>
      </c>
      <c r="R46" s="158">
        <v>0</v>
      </c>
      <c r="S46" s="98">
        <v>0</v>
      </c>
      <c r="T46" s="98">
        <f t="shared" si="14"/>
        <v>0</v>
      </c>
      <c r="U46" s="98">
        <f t="shared" si="10"/>
        <v>0</v>
      </c>
      <c r="V46" s="94"/>
      <c r="W46" s="95">
        <f t="shared" si="11"/>
        <v>0</v>
      </c>
      <c r="X46" s="123">
        <v>0</v>
      </c>
      <c r="Y46" s="123">
        <v>0</v>
      </c>
      <c r="Z46" s="123">
        <v>0</v>
      </c>
      <c r="AA46" s="123">
        <v>0</v>
      </c>
      <c r="AB46" s="123">
        <v>0</v>
      </c>
    </row>
    <row r="47" spans="1:28" s="4" customFormat="1" x14ac:dyDescent="0.2">
      <c r="A47" s="109" t="s">
        <v>20</v>
      </c>
      <c r="B47" s="110"/>
      <c r="C47" s="110"/>
      <c r="D47" s="110"/>
      <c r="E47" s="110"/>
      <c r="F47" s="111">
        <f>+F42+F44</f>
        <v>743829</v>
      </c>
      <c r="G47" s="86" t="s">
        <v>33</v>
      </c>
      <c r="H47" s="93">
        <v>0</v>
      </c>
      <c r="I47" s="93">
        <f t="shared" si="9"/>
        <v>0</v>
      </c>
      <c r="J47" s="93">
        <f t="shared" si="12"/>
        <v>0</v>
      </c>
      <c r="K47" s="93"/>
      <c r="L47" s="96">
        <v>0</v>
      </c>
      <c r="M47" s="96">
        <v>0</v>
      </c>
      <c r="N47" s="96">
        <v>0</v>
      </c>
      <c r="O47" s="97">
        <v>0</v>
      </c>
      <c r="P47" s="97">
        <f t="shared" si="13"/>
        <v>0</v>
      </c>
      <c r="Q47" s="158">
        <v>0</v>
      </c>
      <c r="R47" s="158">
        <v>0</v>
      </c>
      <c r="S47" s="98">
        <v>0</v>
      </c>
      <c r="T47" s="98">
        <f t="shared" si="14"/>
        <v>0</v>
      </c>
      <c r="U47" s="98">
        <f t="shared" si="10"/>
        <v>0</v>
      </c>
      <c r="V47" s="94"/>
      <c r="W47" s="95">
        <f t="shared" si="11"/>
        <v>0</v>
      </c>
      <c r="X47" s="123">
        <v>0</v>
      </c>
      <c r="Y47" s="123">
        <v>0</v>
      </c>
      <c r="Z47" s="123">
        <v>0</v>
      </c>
      <c r="AA47" s="123">
        <v>0</v>
      </c>
      <c r="AB47" s="123">
        <v>0</v>
      </c>
    </row>
    <row r="48" spans="1:28" s="4" customFormat="1" x14ac:dyDescent="0.2">
      <c r="A48" s="109" t="s">
        <v>21</v>
      </c>
      <c r="B48" s="110"/>
      <c r="C48" s="110"/>
      <c r="D48" s="110"/>
      <c r="E48" s="110"/>
      <c r="F48" s="112">
        <f>+F47/L17</f>
        <v>0.23847391620908584</v>
      </c>
      <c r="G48" s="113" t="s">
        <v>36</v>
      </c>
      <c r="H48" s="114">
        <f>SUM(H36:H47)</f>
        <v>4208867</v>
      </c>
      <c r="I48" s="114">
        <f>SUM(I36:I47)</f>
        <v>799684</v>
      </c>
      <c r="J48" s="114">
        <f>SUM(J36:J47)</f>
        <v>5008551</v>
      </c>
      <c r="K48" s="93"/>
      <c r="L48" s="116">
        <f>SUM(L36:L47)</f>
        <v>255250</v>
      </c>
      <c r="M48" s="116">
        <f t="shared" ref="M48:P48" si="15">SUM(M36:M47)</f>
        <v>0</v>
      </c>
      <c r="N48" s="116">
        <f t="shared" si="15"/>
        <v>48498</v>
      </c>
      <c r="O48" s="116">
        <f t="shared" si="15"/>
        <v>0</v>
      </c>
      <c r="P48" s="116">
        <f t="shared" si="15"/>
        <v>303748</v>
      </c>
      <c r="Q48" s="159">
        <f>SUM(Q36:Q47)</f>
        <v>0</v>
      </c>
      <c r="R48" s="159">
        <f>SUM(R36:R47)</f>
        <v>0</v>
      </c>
      <c r="S48" s="117">
        <f>SUM(S36:S47)</f>
        <v>0</v>
      </c>
      <c r="T48" s="117">
        <f t="shared" ref="T48:U48" si="16">SUM(T36:T47)</f>
        <v>0</v>
      </c>
      <c r="U48" s="117">
        <f t="shared" si="16"/>
        <v>0</v>
      </c>
      <c r="V48" s="144">
        <f>SUM(V36:V47)</f>
        <v>0.30000000000000004</v>
      </c>
      <c r="W48" s="115">
        <f>SUM(W36:W47)</f>
        <v>420886.69999999995</v>
      </c>
      <c r="X48" s="124">
        <f>SUM(X36:X47)</f>
        <v>0</v>
      </c>
      <c r="Y48" s="124">
        <f t="shared" ref="Y48:AB48" si="17">SUM(Y36:Y47)</f>
        <v>0</v>
      </c>
      <c r="Z48" s="124">
        <f t="shared" si="17"/>
        <v>144000</v>
      </c>
      <c r="AA48" s="124">
        <f>SUM(AA36:AA47)</f>
        <v>0</v>
      </c>
      <c r="AB48" s="124">
        <f t="shared" si="17"/>
        <v>30084</v>
      </c>
    </row>
    <row r="49" spans="1:35" s="4" customFormat="1" x14ac:dyDescent="0.2">
      <c r="A49" s="118" t="s">
        <v>125</v>
      </c>
      <c r="B49" s="119"/>
      <c r="C49" s="119"/>
      <c r="D49" s="119"/>
      <c r="E49" s="119"/>
      <c r="F49" s="120">
        <f>+F42/L17</f>
        <v>0.18847393223924305</v>
      </c>
      <c r="G49" s="145" t="s">
        <v>54</v>
      </c>
      <c r="H49" s="146">
        <f>+H48/3</f>
        <v>1402955.6666666667</v>
      </c>
      <c r="I49" s="146">
        <f>+I48/3</f>
        <v>266561.33333333331</v>
      </c>
      <c r="J49" s="146">
        <f>+J48/3</f>
        <v>1669517</v>
      </c>
      <c r="K49" s="145"/>
      <c r="L49" s="149">
        <f t="shared" ref="L49:AB49" si="18">+L48/3</f>
        <v>85083.333333333328</v>
      </c>
      <c r="M49" s="149">
        <f t="shared" si="18"/>
        <v>0</v>
      </c>
      <c r="N49" s="149">
        <f t="shared" si="18"/>
        <v>16166</v>
      </c>
      <c r="O49" s="149">
        <f t="shared" si="18"/>
        <v>0</v>
      </c>
      <c r="P49" s="149">
        <f t="shared" si="18"/>
        <v>101249.33333333333</v>
      </c>
      <c r="Q49" s="160">
        <f t="shared" si="18"/>
        <v>0</v>
      </c>
      <c r="R49" s="160">
        <f t="shared" si="18"/>
        <v>0</v>
      </c>
      <c r="S49" s="150">
        <f t="shared" si="18"/>
        <v>0</v>
      </c>
      <c r="T49" s="150">
        <f t="shared" si="18"/>
        <v>0</v>
      </c>
      <c r="U49" s="150">
        <f t="shared" si="18"/>
        <v>0</v>
      </c>
      <c r="V49" s="147">
        <f t="shared" si="18"/>
        <v>0.10000000000000002</v>
      </c>
      <c r="W49" s="148">
        <f t="shared" si="18"/>
        <v>140295.56666666665</v>
      </c>
      <c r="X49" s="151">
        <f t="shared" si="18"/>
        <v>0</v>
      </c>
      <c r="Y49" s="151">
        <f t="shared" si="18"/>
        <v>0</v>
      </c>
      <c r="Z49" s="151">
        <f t="shared" si="18"/>
        <v>48000</v>
      </c>
      <c r="AA49" s="151">
        <f t="shared" si="18"/>
        <v>0</v>
      </c>
      <c r="AB49" s="151">
        <f t="shared" si="18"/>
        <v>10028</v>
      </c>
    </row>
    <row r="50" spans="1:35" s="4" customFormat="1" x14ac:dyDescent="0.2">
      <c r="A50" s="2"/>
      <c r="B50" s="2"/>
      <c r="C50" s="2"/>
      <c r="D50" s="2"/>
      <c r="E50" s="2"/>
      <c r="F50" s="2"/>
      <c r="G50" s="2"/>
      <c r="Q50" s="2"/>
      <c r="R50" s="2"/>
      <c r="T50" s="2"/>
      <c r="U50" s="2"/>
    </row>
    <row r="51" spans="1:35" x14ac:dyDescent="0.2">
      <c r="X51" s="121"/>
      <c r="AB51" s="121"/>
      <c r="AD51" s="4"/>
      <c r="AF51" s="121"/>
      <c r="AI51" s="121">
        <v>-4.5</v>
      </c>
    </row>
    <row r="52" spans="1:35" x14ac:dyDescent="0.2">
      <c r="AD52" s="4"/>
    </row>
  </sheetData>
  <mergeCells count="12">
    <mergeCell ref="X34:AB34"/>
    <mergeCell ref="A34:F34"/>
    <mergeCell ref="G34:K34"/>
    <mergeCell ref="L34:P34"/>
    <mergeCell ref="Q34:R34"/>
    <mergeCell ref="S34:U34"/>
    <mergeCell ref="V34:W34"/>
    <mergeCell ref="E29:F29"/>
    <mergeCell ref="B3:D3"/>
    <mergeCell ref="E3:F3"/>
    <mergeCell ref="E4:F4"/>
    <mergeCell ref="E20:F20"/>
  </mergeCells>
  <pageMargins left="0.7" right="0.7" top="0.75" bottom="0.75" header="0.3" footer="0.3"/>
  <pageSetup orientation="portrait" horizontalDpi="200" verticalDpi="200" r:id="rId1"/>
  <ignoredErrors>
    <ignoredError sqref="M10:N16 N26" formula="1"/>
    <ignoredError sqref="P21 P23:P24" formulaRange="1"/>
    <ignoredError sqref="P22" formula="1" formulaRange="1"/>
  </ignoredError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661B0-C8F7-4C1F-937D-A9B5549FCF19}">
  <dimension ref="A1:AK51"/>
  <sheetViews>
    <sheetView zoomScale="117" zoomScaleNormal="117" workbookViewId="0">
      <pane ySplit="4" topLeftCell="A11" activePane="bottomLeft" state="frozen"/>
      <selection pane="bottomLeft" activeCell="A48" sqref="A48"/>
    </sheetView>
  </sheetViews>
  <sheetFormatPr baseColWidth="10" defaultColWidth="11.42578125" defaultRowHeight="11.25" x14ac:dyDescent="0.2"/>
  <cols>
    <col min="1" max="3" width="3.7109375" style="2" customWidth="1"/>
    <col min="4" max="4" width="5.7109375" style="2" customWidth="1"/>
    <col min="5" max="5" width="3.7109375" style="2" customWidth="1"/>
    <col min="6" max="10" width="9.28515625" style="2" customWidth="1"/>
    <col min="11" max="11" width="1.7109375" style="2" customWidth="1"/>
    <col min="12" max="17" width="9.28515625" style="2" customWidth="1"/>
    <col min="18" max="18" width="9.28515625" style="4" customWidth="1"/>
    <col min="19" max="28" width="9.28515625" style="2" customWidth="1"/>
    <col min="29" max="16384" width="11.42578125" style="2"/>
  </cols>
  <sheetData>
    <row r="1" spans="1:28" s="4" customFormat="1" x14ac:dyDescent="0.2">
      <c r="A1" s="174" t="s">
        <v>105</v>
      </c>
      <c r="B1" s="175"/>
      <c r="C1" s="175"/>
      <c r="D1" s="175"/>
      <c r="E1" s="176"/>
      <c r="F1" s="176"/>
      <c r="G1" s="37" t="s">
        <v>44</v>
      </c>
      <c r="H1" s="50"/>
      <c r="I1" s="176"/>
      <c r="J1" s="176"/>
      <c r="K1" s="177"/>
      <c r="L1" s="176"/>
      <c r="M1" s="178" t="s">
        <v>98</v>
      </c>
      <c r="N1" s="177">
        <v>2023</v>
      </c>
      <c r="O1" s="3"/>
      <c r="P1" s="3"/>
      <c r="Q1" s="3"/>
    </row>
    <row r="2" spans="1:28" s="4" customFormat="1" x14ac:dyDescent="0.2">
      <c r="A2" s="5" t="s">
        <v>3</v>
      </c>
      <c r="B2" s="6"/>
      <c r="C2" s="6"/>
      <c r="D2" s="6"/>
      <c r="E2" s="6"/>
      <c r="F2" s="7"/>
      <c r="G2" s="2"/>
      <c r="H2" s="2"/>
      <c r="I2" s="2"/>
      <c r="J2" s="8"/>
      <c r="K2" s="8"/>
      <c r="L2" s="3"/>
      <c r="M2" s="3"/>
      <c r="N2" s="3"/>
      <c r="O2" s="3"/>
      <c r="P2" s="3"/>
      <c r="Q2" s="3"/>
    </row>
    <row r="3" spans="1:28" s="4" customFormat="1" x14ac:dyDescent="0.2">
      <c r="A3" s="9" t="s">
        <v>41</v>
      </c>
      <c r="B3" s="189" t="s">
        <v>40</v>
      </c>
      <c r="C3" s="189"/>
      <c r="D3" s="189"/>
      <c r="E3" s="190" t="s">
        <v>82</v>
      </c>
      <c r="F3" s="190"/>
      <c r="G3" s="10"/>
      <c r="H3" s="10"/>
      <c r="I3" s="10"/>
      <c r="J3" s="10"/>
      <c r="K3" s="10"/>
      <c r="L3" s="11"/>
      <c r="M3" s="11"/>
      <c r="N3" s="11"/>
      <c r="O3" s="11"/>
      <c r="P3" s="11"/>
      <c r="Q3" s="11"/>
    </row>
    <row r="4" spans="1:28" s="4" customFormat="1" x14ac:dyDescent="0.2">
      <c r="A4" s="9" t="s">
        <v>42</v>
      </c>
      <c r="B4" s="12" t="s">
        <v>37</v>
      </c>
      <c r="C4" s="12" t="s">
        <v>38</v>
      </c>
      <c r="D4" s="12" t="s">
        <v>39</v>
      </c>
      <c r="E4" s="190" t="s">
        <v>81</v>
      </c>
      <c r="F4" s="190"/>
      <c r="G4" s="9"/>
      <c r="H4" s="9" t="s">
        <v>0</v>
      </c>
      <c r="I4" s="9"/>
      <c r="J4" s="9" t="s">
        <v>5</v>
      </c>
      <c r="K4" s="9"/>
      <c r="L4" s="9" t="s">
        <v>52</v>
      </c>
      <c r="M4" s="9" t="s">
        <v>1</v>
      </c>
      <c r="N4" s="9" t="s">
        <v>2</v>
      </c>
      <c r="O4" s="2"/>
      <c r="P4" s="2"/>
      <c r="Q4" s="2"/>
    </row>
    <row r="5" spans="1:28" s="4" customFormat="1" x14ac:dyDescent="0.2">
      <c r="A5" s="13">
        <v>1</v>
      </c>
      <c r="B5" s="13">
        <v>6</v>
      </c>
      <c r="C5" s="13">
        <v>2</v>
      </c>
      <c r="D5" s="14">
        <v>2023</v>
      </c>
      <c r="E5" s="14" t="s">
        <v>77</v>
      </c>
      <c r="F5" s="167">
        <v>14</v>
      </c>
      <c r="G5" s="15" t="s">
        <v>93</v>
      </c>
      <c r="H5" s="15"/>
      <c r="I5" s="15"/>
      <c r="J5" s="168">
        <v>99147000</v>
      </c>
      <c r="K5" s="14" t="s">
        <v>94</v>
      </c>
      <c r="L5" s="16">
        <v>22588</v>
      </c>
      <c r="M5" s="16">
        <f t="shared" ref="M5:M8" si="0">ROUND((L5*19%),0)</f>
        <v>4292</v>
      </c>
      <c r="N5" s="16">
        <f>ROUND((L5+M5),0)</f>
        <v>26880</v>
      </c>
      <c r="O5" s="2"/>
      <c r="P5" s="2"/>
      <c r="Q5" s="2"/>
    </row>
    <row r="6" spans="1:28" s="4" customFormat="1" x14ac:dyDescent="0.2">
      <c r="A6" s="13">
        <v>2</v>
      </c>
      <c r="B6" s="13">
        <v>7</v>
      </c>
      <c r="C6" s="13">
        <v>2</v>
      </c>
      <c r="D6" s="14">
        <v>2023</v>
      </c>
      <c r="E6" s="14" t="s">
        <v>77</v>
      </c>
      <c r="F6" s="167">
        <v>15</v>
      </c>
      <c r="G6" s="15" t="s">
        <v>96</v>
      </c>
      <c r="H6" s="15"/>
      <c r="I6" s="15"/>
      <c r="J6" s="168">
        <v>76743492</v>
      </c>
      <c r="K6" s="14">
        <v>8</v>
      </c>
      <c r="L6" s="16">
        <v>88712</v>
      </c>
      <c r="M6" s="16">
        <f t="shared" si="0"/>
        <v>16855</v>
      </c>
      <c r="N6" s="16">
        <f t="shared" ref="N6:N8" si="1">ROUND((L6+M6),0)</f>
        <v>105567</v>
      </c>
      <c r="O6" s="2"/>
      <c r="P6" s="2"/>
      <c r="Q6" s="2"/>
    </row>
    <row r="7" spans="1:28" s="4" customFormat="1" x14ac:dyDescent="0.2">
      <c r="A7" s="13">
        <v>3</v>
      </c>
      <c r="B7" s="13">
        <v>21</v>
      </c>
      <c r="C7" s="13">
        <v>2</v>
      </c>
      <c r="D7" s="14">
        <v>2023</v>
      </c>
      <c r="E7" s="14" t="s">
        <v>77</v>
      </c>
      <c r="F7" s="167">
        <v>16</v>
      </c>
      <c r="G7" s="15" t="s">
        <v>96</v>
      </c>
      <c r="H7" s="15"/>
      <c r="I7" s="15"/>
      <c r="J7" s="168">
        <v>76743492</v>
      </c>
      <c r="K7" s="14">
        <v>8</v>
      </c>
      <c r="L7" s="16">
        <v>521348</v>
      </c>
      <c r="M7" s="16">
        <f t="shared" si="0"/>
        <v>99056</v>
      </c>
      <c r="N7" s="16">
        <f t="shared" si="1"/>
        <v>620404</v>
      </c>
      <c r="O7" s="2"/>
      <c r="P7" s="2"/>
      <c r="Q7" s="2"/>
      <c r="R7" s="161"/>
      <c r="S7" s="162"/>
      <c r="T7" s="162"/>
      <c r="U7" s="162"/>
      <c r="V7" s="8"/>
    </row>
    <row r="8" spans="1:28" s="4" customFormat="1" x14ac:dyDescent="0.2">
      <c r="A8" s="13">
        <v>4</v>
      </c>
      <c r="B8" s="13">
        <v>22</v>
      </c>
      <c r="C8" s="13">
        <v>2</v>
      </c>
      <c r="D8" s="14">
        <v>2023</v>
      </c>
      <c r="E8" s="14" t="s">
        <v>77</v>
      </c>
      <c r="F8" s="167">
        <v>17</v>
      </c>
      <c r="G8" s="15" t="s">
        <v>95</v>
      </c>
      <c r="H8" s="15"/>
      <c r="I8" s="15"/>
      <c r="J8" s="168">
        <v>99061000</v>
      </c>
      <c r="K8" s="14">
        <v>2</v>
      </c>
      <c r="L8" s="16">
        <v>94676</v>
      </c>
      <c r="M8" s="16">
        <f t="shared" si="0"/>
        <v>17988</v>
      </c>
      <c r="N8" s="16">
        <f t="shared" si="1"/>
        <v>112664</v>
      </c>
      <c r="O8" s="2"/>
      <c r="P8" s="2"/>
      <c r="Q8" s="2"/>
      <c r="R8" s="8"/>
      <c r="S8" s="2"/>
      <c r="T8" s="163"/>
      <c r="U8" s="2"/>
      <c r="V8" s="164"/>
      <c r="W8" s="8"/>
      <c r="X8" s="165"/>
      <c r="Y8" s="165"/>
      <c r="Z8" s="54"/>
      <c r="AA8" s="165"/>
      <c r="AB8" s="165"/>
    </row>
    <row r="9" spans="1:28" s="4" customFormat="1" x14ac:dyDescent="0.2">
      <c r="A9" s="1" t="s">
        <v>51</v>
      </c>
      <c r="B9" s="17"/>
      <c r="C9" s="17"/>
      <c r="D9" s="18"/>
      <c r="E9" s="18"/>
      <c r="F9" s="19"/>
      <c r="G9" s="20"/>
      <c r="H9" s="20"/>
      <c r="I9" s="20"/>
      <c r="J9" s="18"/>
      <c r="K9" s="18"/>
      <c r="L9" s="21">
        <f>SUM(L5:L8)</f>
        <v>727324</v>
      </c>
      <c r="M9" s="21">
        <f>SUM(M5:M8)</f>
        <v>138191</v>
      </c>
      <c r="N9" s="21">
        <f>SUM(N5:N8)</f>
        <v>865515</v>
      </c>
      <c r="O9" s="2"/>
      <c r="P9" s="2"/>
    </row>
    <row r="10" spans="1:28" s="4" customFormat="1" x14ac:dyDescent="0.2">
      <c r="A10" s="22">
        <v>1</v>
      </c>
      <c r="B10" s="22"/>
      <c r="C10" s="22">
        <v>2</v>
      </c>
      <c r="D10" s="23">
        <v>2023</v>
      </c>
      <c r="E10" s="23" t="s">
        <v>78</v>
      </c>
      <c r="F10" s="22"/>
      <c r="G10" s="24"/>
      <c r="H10" s="24"/>
      <c r="I10" s="24"/>
      <c r="J10" s="169"/>
      <c r="K10" s="23"/>
      <c r="L10" s="170"/>
      <c r="M10" s="25">
        <f t="shared" ref="M10:M11" si="2">ROUND((L10*19%),0)</f>
        <v>0</v>
      </c>
      <c r="N10" s="25">
        <f>ROUND((L10+M10),0)</f>
        <v>0</v>
      </c>
      <c r="O10" s="2"/>
      <c r="P10" s="2"/>
      <c r="Q10" s="2"/>
    </row>
    <row r="11" spans="1:28" s="4" customFormat="1" x14ac:dyDescent="0.2">
      <c r="A11" s="22">
        <v>2</v>
      </c>
      <c r="B11" s="22"/>
      <c r="C11" s="22">
        <v>2</v>
      </c>
      <c r="D11" s="23">
        <v>2023</v>
      </c>
      <c r="E11" s="23" t="s">
        <v>78</v>
      </c>
      <c r="F11" s="22"/>
      <c r="G11" s="24"/>
      <c r="H11" s="24"/>
      <c r="I11" s="24"/>
      <c r="J11" s="169"/>
      <c r="K11" s="23"/>
      <c r="L11" s="170"/>
      <c r="M11" s="25">
        <f t="shared" si="2"/>
        <v>0</v>
      </c>
      <c r="N11" s="25">
        <f t="shared" ref="N11" si="3">ROUND((L11+M11),0)</f>
        <v>0</v>
      </c>
      <c r="O11" s="2"/>
      <c r="P11" s="2"/>
      <c r="Q11" s="2"/>
    </row>
    <row r="12" spans="1:28" s="4" customFormat="1" x14ac:dyDescent="0.2">
      <c r="A12" s="26" t="s">
        <v>50</v>
      </c>
      <c r="B12" s="27"/>
      <c r="C12" s="27"/>
      <c r="D12" s="28"/>
      <c r="E12" s="28"/>
      <c r="F12" s="29"/>
      <c r="G12" s="30"/>
      <c r="H12" s="30"/>
      <c r="I12" s="30"/>
      <c r="J12" s="28"/>
      <c r="K12" s="28"/>
      <c r="L12" s="31">
        <f>SUM(L10:L11)</f>
        <v>0</v>
      </c>
      <c r="M12" s="31">
        <f>SUM(M10:M11)</f>
        <v>0</v>
      </c>
      <c r="N12" s="31">
        <f>SUM(N10:N11)</f>
        <v>0</v>
      </c>
      <c r="O12" s="30"/>
      <c r="P12" s="30"/>
      <c r="Q12" s="2"/>
      <c r="R12" s="2"/>
      <c r="S12" s="2"/>
    </row>
    <row r="13" spans="1:28" s="4" customFormat="1" x14ac:dyDescent="0.2">
      <c r="A13" s="32">
        <v>1</v>
      </c>
      <c r="B13" s="32"/>
      <c r="C13" s="32">
        <v>2</v>
      </c>
      <c r="D13" s="33">
        <v>2023</v>
      </c>
      <c r="E13" s="33" t="s">
        <v>79</v>
      </c>
      <c r="F13" s="34"/>
      <c r="G13" s="35"/>
      <c r="H13" s="35"/>
      <c r="I13" s="35"/>
      <c r="J13" s="171"/>
      <c r="K13" s="33"/>
      <c r="L13" s="36"/>
      <c r="M13" s="36">
        <f t="shared" ref="M13:M14" si="4">ROUND((L13*19%),0)</f>
        <v>0</v>
      </c>
      <c r="N13" s="36">
        <f t="shared" ref="N13:N14" si="5">SUM(L13:M13)</f>
        <v>0</v>
      </c>
      <c r="O13" s="30"/>
      <c r="P13" s="30"/>
      <c r="R13" s="2"/>
    </row>
    <row r="14" spans="1:28" s="4" customFormat="1" x14ac:dyDescent="0.2">
      <c r="A14" s="32">
        <v>2</v>
      </c>
      <c r="B14" s="32"/>
      <c r="C14" s="32">
        <v>2</v>
      </c>
      <c r="D14" s="33">
        <v>2023</v>
      </c>
      <c r="E14" s="33" t="s">
        <v>79</v>
      </c>
      <c r="F14" s="34"/>
      <c r="G14" s="35"/>
      <c r="H14" s="35"/>
      <c r="I14" s="35"/>
      <c r="J14" s="33"/>
      <c r="K14" s="33"/>
      <c r="L14" s="36"/>
      <c r="M14" s="36">
        <f t="shared" si="4"/>
        <v>0</v>
      </c>
      <c r="N14" s="36">
        <f t="shared" si="5"/>
        <v>0</v>
      </c>
      <c r="O14" s="30"/>
      <c r="P14" s="30"/>
      <c r="Q14" s="2"/>
    </row>
    <row r="15" spans="1:28" s="4" customFormat="1" x14ac:dyDescent="0.2">
      <c r="A15" s="37" t="s">
        <v>65</v>
      </c>
      <c r="B15" s="38"/>
      <c r="C15" s="38"/>
      <c r="D15" s="39"/>
      <c r="E15" s="39"/>
      <c r="F15" s="40"/>
      <c r="G15" s="41"/>
      <c r="H15" s="41"/>
      <c r="I15" s="41"/>
      <c r="J15" s="39"/>
      <c r="K15" s="39"/>
      <c r="L15" s="42">
        <f>SUM(L13:L14)</f>
        <v>0</v>
      </c>
      <c r="M15" s="42">
        <f t="shared" ref="M15:N15" si="6">SUM(M13:M14)</f>
        <v>0</v>
      </c>
      <c r="N15" s="42">
        <f t="shared" si="6"/>
        <v>0</v>
      </c>
      <c r="O15" s="30"/>
      <c r="P15" s="30"/>
      <c r="Q15" s="2"/>
    </row>
    <row r="16" spans="1:28" s="4" customFormat="1" x14ac:dyDescent="0.2">
      <c r="A16" s="43" t="s">
        <v>16</v>
      </c>
      <c r="B16" s="44"/>
      <c r="C16" s="44"/>
      <c r="D16" s="44"/>
      <c r="E16" s="44"/>
      <c r="F16" s="45"/>
      <c r="G16" s="45"/>
      <c r="H16" s="45"/>
      <c r="I16" s="45"/>
      <c r="J16" s="46"/>
      <c r="K16" s="46"/>
      <c r="L16" s="47">
        <f>+L9+L12+L15</f>
        <v>727324</v>
      </c>
      <c r="M16" s="47">
        <f>+M9+M12+M15</f>
        <v>138191</v>
      </c>
      <c r="N16" s="47">
        <f>+N9+N12+N15</f>
        <v>865515</v>
      </c>
      <c r="O16" s="2"/>
      <c r="P16" s="2"/>
      <c r="Q16" s="2"/>
      <c r="S16" s="48"/>
      <c r="T16" s="49"/>
      <c r="U16" s="50"/>
    </row>
    <row r="17" spans="1:37" x14ac:dyDescent="0.2">
      <c r="S17" s="48"/>
      <c r="T17" s="49"/>
      <c r="U17" s="50"/>
    </row>
    <row r="18" spans="1:37" s="4" customFormat="1" x14ac:dyDescent="0.2">
      <c r="A18" s="51" t="s">
        <v>6</v>
      </c>
      <c r="B18" s="52"/>
      <c r="C18" s="52"/>
      <c r="D18" s="52"/>
      <c r="E18" s="53"/>
      <c r="F18" s="53"/>
      <c r="G18" s="2"/>
      <c r="H18" s="2"/>
      <c r="I18" s="2"/>
      <c r="J18" s="8"/>
      <c r="K18" s="8"/>
      <c r="L18" s="54"/>
      <c r="M18" s="3"/>
      <c r="N18" s="3"/>
      <c r="O18" s="3"/>
      <c r="P18" s="3"/>
      <c r="Q18" s="3"/>
      <c r="S18" s="48"/>
      <c r="T18" s="49"/>
      <c r="U18" s="50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1:37" x14ac:dyDescent="0.2">
      <c r="A19" s="55" t="s">
        <v>41</v>
      </c>
      <c r="B19" s="56" t="s">
        <v>37</v>
      </c>
      <c r="C19" s="56" t="s">
        <v>38</v>
      </c>
      <c r="D19" s="56" t="s">
        <v>39</v>
      </c>
      <c r="E19" s="191" t="s">
        <v>71</v>
      </c>
      <c r="F19" s="191"/>
      <c r="G19" s="55"/>
      <c r="H19" s="55" t="s">
        <v>4</v>
      </c>
      <c r="I19" s="55"/>
      <c r="J19" s="55" t="s">
        <v>5</v>
      </c>
      <c r="K19" s="55"/>
      <c r="L19" s="55" t="s">
        <v>52</v>
      </c>
      <c r="M19" s="55" t="s">
        <v>35</v>
      </c>
      <c r="N19" s="55" t="s">
        <v>1</v>
      </c>
      <c r="O19" s="55" t="s">
        <v>61</v>
      </c>
      <c r="P19" s="55" t="s">
        <v>2</v>
      </c>
    </row>
    <row r="20" spans="1:37" x14ac:dyDescent="0.2">
      <c r="A20" s="57">
        <v>1</v>
      </c>
      <c r="B20" s="58">
        <v>27</v>
      </c>
      <c r="C20" s="58">
        <v>2</v>
      </c>
      <c r="D20" s="58">
        <v>2023</v>
      </c>
      <c r="E20" s="59" t="s">
        <v>77</v>
      </c>
      <c r="F20" s="59">
        <v>56781</v>
      </c>
      <c r="G20" s="53" t="s">
        <v>85</v>
      </c>
      <c r="H20" s="60"/>
      <c r="I20" s="53"/>
      <c r="J20" s="61">
        <v>77617950</v>
      </c>
      <c r="K20" s="59">
        <v>7</v>
      </c>
      <c r="L20" s="62">
        <v>24120</v>
      </c>
      <c r="M20" s="62">
        <v>0</v>
      </c>
      <c r="N20" s="62">
        <v>4583</v>
      </c>
      <c r="O20" s="62">
        <v>0</v>
      </c>
      <c r="P20" s="62">
        <f>SUM(L20:O20)</f>
        <v>28703</v>
      </c>
      <c r="R20" s="166"/>
      <c r="S20" s="166"/>
      <c r="T20" s="166"/>
      <c r="U20" s="166"/>
      <c r="V20" s="166"/>
    </row>
    <row r="21" spans="1:37" x14ac:dyDescent="0.2">
      <c r="A21" s="1" t="s">
        <v>49</v>
      </c>
      <c r="B21" s="17"/>
      <c r="C21" s="17"/>
      <c r="D21" s="17"/>
      <c r="E21" s="65"/>
      <c r="F21" s="19"/>
      <c r="G21" s="20"/>
      <c r="H21" s="20"/>
      <c r="I21" s="20"/>
      <c r="J21" s="18"/>
      <c r="K21" s="18"/>
      <c r="L21" s="21">
        <f>SUM(L20:L20)</f>
        <v>24120</v>
      </c>
      <c r="M21" s="21">
        <f>SUM(M20:M20)</f>
        <v>0</v>
      </c>
      <c r="N21" s="21">
        <f>SUM(N20:N20)</f>
        <v>4583</v>
      </c>
      <c r="O21" s="21">
        <f>SUM(O20:O20)</f>
        <v>0</v>
      </c>
      <c r="P21" s="21">
        <f>SUM(P20:P20)</f>
        <v>28703</v>
      </c>
      <c r="R21" s="121"/>
      <c r="S21" s="54"/>
      <c r="U21" s="172"/>
      <c r="V21" s="153"/>
      <c r="W21" s="153"/>
    </row>
    <row r="22" spans="1:37" x14ac:dyDescent="0.2">
      <c r="A22" s="66">
        <v>1</v>
      </c>
      <c r="B22" s="66"/>
      <c r="C22" s="66">
        <v>2</v>
      </c>
      <c r="D22" s="66">
        <v>2023</v>
      </c>
      <c r="E22" s="67" t="s">
        <v>78</v>
      </c>
      <c r="F22" s="68"/>
      <c r="G22" s="69"/>
      <c r="H22" s="70"/>
      <c r="I22" s="69"/>
      <c r="J22" s="71"/>
      <c r="K22" s="72"/>
      <c r="L22" s="73"/>
      <c r="M22" s="74">
        <v>0</v>
      </c>
      <c r="N22" s="74">
        <f t="shared" ref="N22:N23" si="7">ROUND((L22*19%),0)</f>
        <v>0</v>
      </c>
      <c r="O22" s="74">
        <v>0</v>
      </c>
      <c r="P22" s="74">
        <f>SUM(L22:O22)</f>
        <v>0</v>
      </c>
      <c r="R22" s="121"/>
      <c r="S22" s="4"/>
      <c r="U22" s="173"/>
      <c r="V22" s="153"/>
      <c r="W22" s="153"/>
    </row>
    <row r="23" spans="1:37" x14ac:dyDescent="0.2">
      <c r="A23" s="66">
        <v>2</v>
      </c>
      <c r="B23" s="66"/>
      <c r="C23" s="66">
        <v>2</v>
      </c>
      <c r="D23" s="66">
        <v>2023</v>
      </c>
      <c r="E23" s="67" t="s">
        <v>78</v>
      </c>
      <c r="F23" s="68"/>
      <c r="G23" s="69"/>
      <c r="H23" s="70"/>
      <c r="I23" s="69"/>
      <c r="J23" s="71"/>
      <c r="K23" s="72"/>
      <c r="L23" s="74"/>
      <c r="M23" s="74">
        <v>0</v>
      </c>
      <c r="N23" s="74">
        <f t="shared" si="7"/>
        <v>0</v>
      </c>
      <c r="O23" s="74">
        <v>0</v>
      </c>
      <c r="P23" s="74">
        <f>SUM(L23:O23)</f>
        <v>0</v>
      </c>
      <c r="R23" s="121"/>
      <c r="U23" s="173"/>
      <c r="V23" s="153"/>
      <c r="W23" s="153"/>
    </row>
    <row r="24" spans="1:37" x14ac:dyDescent="0.2">
      <c r="A24" s="26" t="s">
        <v>48</v>
      </c>
      <c r="B24" s="27"/>
      <c r="C24" s="27"/>
      <c r="D24" s="27"/>
      <c r="E24" s="75"/>
      <c r="F24" s="29"/>
      <c r="G24" s="30"/>
      <c r="H24" s="30"/>
      <c r="I24" s="30"/>
      <c r="J24" s="28"/>
      <c r="K24" s="28"/>
      <c r="L24" s="31">
        <f>SUM(L22:L23)</f>
        <v>0</v>
      </c>
      <c r="M24" s="31">
        <f>SUM(M22:M23)</f>
        <v>0</v>
      </c>
      <c r="N24" s="31">
        <f>SUM(N22:N23)</f>
        <v>0</v>
      </c>
      <c r="O24" s="31">
        <f>SUM(O22:O23)</f>
        <v>0</v>
      </c>
      <c r="P24" s="31">
        <f>SUM(P22:P23)</f>
        <v>0</v>
      </c>
      <c r="R24" s="121"/>
      <c r="U24" s="173"/>
      <c r="V24" s="153"/>
      <c r="W24" s="153"/>
    </row>
    <row r="25" spans="1:37" x14ac:dyDescent="0.2">
      <c r="A25" s="76" t="s">
        <v>17</v>
      </c>
      <c r="B25" s="56"/>
      <c r="C25" s="56"/>
      <c r="D25" s="56"/>
      <c r="E25" s="56"/>
      <c r="F25" s="77"/>
      <c r="G25" s="77"/>
      <c r="H25" s="77"/>
      <c r="I25" s="77"/>
      <c r="J25" s="78"/>
      <c r="K25" s="78"/>
      <c r="L25" s="79">
        <f>+L21+L24</f>
        <v>24120</v>
      </c>
      <c r="M25" s="79">
        <f>+M21-M24</f>
        <v>0</v>
      </c>
      <c r="N25" s="79">
        <f>N21+N24</f>
        <v>4583</v>
      </c>
      <c r="O25" s="79">
        <f>+O21-O24</f>
        <v>0</v>
      </c>
      <c r="P25" s="79">
        <f>+P21+P24</f>
        <v>28703</v>
      </c>
      <c r="R25" s="121"/>
      <c r="S25" s="4"/>
      <c r="U25" s="173"/>
      <c r="V25" s="153"/>
      <c r="W25" s="153"/>
    </row>
    <row r="26" spans="1:37" x14ac:dyDescent="0.2">
      <c r="R26" s="121"/>
      <c r="S26" s="121"/>
      <c r="T26" s="121"/>
      <c r="U26" s="173"/>
      <c r="V26" s="153"/>
      <c r="W26" s="154"/>
    </row>
    <row r="27" spans="1:37" x14ac:dyDescent="0.2">
      <c r="A27" s="125" t="s">
        <v>7</v>
      </c>
      <c r="B27" s="126"/>
      <c r="C27" s="126"/>
      <c r="D27" s="126"/>
      <c r="E27" s="126"/>
      <c r="F27" s="127"/>
      <c r="J27" s="8"/>
      <c r="K27" s="8"/>
      <c r="L27" s="3"/>
      <c r="M27" s="3"/>
      <c r="N27" s="3"/>
      <c r="O27" s="3"/>
      <c r="P27" s="3"/>
      <c r="Q27" s="3"/>
      <c r="R27" s="2"/>
      <c r="U27" s="4"/>
      <c r="V27" s="156"/>
      <c r="W27" s="155"/>
    </row>
    <row r="28" spans="1:37" x14ac:dyDescent="0.2">
      <c r="A28" s="128" t="s">
        <v>41</v>
      </c>
      <c r="B28" s="129" t="s">
        <v>70</v>
      </c>
      <c r="C28" s="129" t="s">
        <v>38</v>
      </c>
      <c r="D28" s="129" t="s">
        <v>39</v>
      </c>
      <c r="E28" s="192" t="s">
        <v>43</v>
      </c>
      <c r="F28" s="192"/>
      <c r="G28" s="128"/>
      <c r="H28" s="128" t="s">
        <v>8</v>
      </c>
      <c r="I28" s="128"/>
      <c r="J28" s="128" t="s">
        <v>5</v>
      </c>
      <c r="K28" s="128"/>
      <c r="L28" s="128" t="s">
        <v>9</v>
      </c>
      <c r="M28" s="128" t="s">
        <v>97</v>
      </c>
      <c r="N28" s="128" t="s">
        <v>10</v>
      </c>
      <c r="R28" s="2"/>
      <c r="U28" s="4"/>
      <c r="V28" s="156"/>
      <c r="W28" s="156"/>
    </row>
    <row r="29" spans="1:37" x14ac:dyDescent="0.2">
      <c r="A29" s="130">
        <v>1</v>
      </c>
      <c r="B29" s="131"/>
      <c r="C29" s="131">
        <v>2</v>
      </c>
      <c r="D29" s="131">
        <v>2023</v>
      </c>
      <c r="E29" s="132" t="s">
        <v>80</v>
      </c>
      <c r="F29" s="133"/>
      <c r="G29" s="137"/>
      <c r="H29" s="138"/>
      <c r="I29" s="138"/>
      <c r="J29" s="139"/>
      <c r="K29" s="132"/>
      <c r="L29" s="140"/>
      <c r="M29" s="141">
        <f>+L29*0.13</f>
        <v>0</v>
      </c>
      <c r="N29" s="141">
        <f>+L29-M29</f>
        <v>0</v>
      </c>
      <c r="R29" s="2"/>
      <c r="S29" s="4"/>
      <c r="U29" s="4"/>
      <c r="V29" s="156"/>
      <c r="W29" s="155"/>
    </row>
    <row r="30" spans="1:37" x14ac:dyDescent="0.2">
      <c r="A30" s="130">
        <v>2</v>
      </c>
      <c r="B30" s="131"/>
      <c r="C30" s="131">
        <v>2</v>
      </c>
      <c r="D30" s="131">
        <v>2023</v>
      </c>
      <c r="E30" s="132" t="s">
        <v>80</v>
      </c>
      <c r="F30" s="133"/>
      <c r="G30" s="137"/>
      <c r="H30" s="138"/>
      <c r="I30" s="138"/>
      <c r="J30" s="139"/>
      <c r="K30" s="132"/>
      <c r="L30" s="140"/>
      <c r="M30" s="141">
        <f>+L30*0.13</f>
        <v>0</v>
      </c>
      <c r="N30" s="141">
        <f t="shared" ref="N30" si="8">+L30-M30</f>
        <v>0</v>
      </c>
      <c r="R30" s="121"/>
      <c r="S30" s="4"/>
      <c r="U30" s="173"/>
      <c r="V30" s="153"/>
      <c r="W30" s="154"/>
    </row>
    <row r="31" spans="1:37" x14ac:dyDescent="0.2">
      <c r="A31" s="134" t="s">
        <v>18</v>
      </c>
      <c r="B31" s="135"/>
      <c r="C31" s="135"/>
      <c r="D31" s="135"/>
      <c r="E31" s="129"/>
      <c r="F31" s="136"/>
      <c r="G31" s="136"/>
      <c r="H31" s="136"/>
      <c r="I31" s="136"/>
      <c r="J31" s="142"/>
      <c r="K31" s="142"/>
      <c r="L31" s="143">
        <f>SUM(L29:L30)</f>
        <v>0</v>
      </c>
      <c r="M31" s="143">
        <f>SUM(M29:M30)</f>
        <v>0</v>
      </c>
      <c r="N31" s="143">
        <f>SUM(N29:N30)</f>
        <v>0</v>
      </c>
      <c r="R31" s="2"/>
      <c r="U31" s="4"/>
      <c r="V31" s="156"/>
      <c r="W31" s="155"/>
    </row>
    <row r="33" spans="1:28" x14ac:dyDescent="0.2">
      <c r="A33" s="193" t="s">
        <v>99</v>
      </c>
      <c r="B33" s="193"/>
      <c r="C33" s="193"/>
      <c r="D33" s="193"/>
      <c r="E33" s="193"/>
      <c r="F33" s="193"/>
      <c r="G33" s="183" t="s">
        <v>55</v>
      </c>
      <c r="H33" s="183"/>
      <c r="I33" s="183"/>
      <c r="J33" s="183"/>
      <c r="K33" s="183"/>
      <c r="L33" s="184" t="s">
        <v>83</v>
      </c>
      <c r="M33" s="184"/>
      <c r="N33" s="184"/>
      <c r="O33" s="184"/>
      <c r="P33" s="184"/>
      <c r="Q33" s="185" t="s">
        <v>75</v>
      </c>
      <c r="R33" s="185"/>
      <c r="S33" s="186" t="s">
        <v>73</v>
      </c>
      <c r="T33" s="186"/>
      <c r="U33" s="186"/>
      <c r="V33" s="187" t="s">
        <v>12</v>
      </c>
      <c r="W33" s="187"/>
      <c r="X33" s="188" t="s">
        <v>69</v>
      </c>
      <c r="Y33" s="188"/>
      <c r="Z33" s="188"/>
      <c r="AA33" s="188"/>
      <c r="AB33" s="188"/>
    </row>
    <row r="34" spans="1:28" x14ac:dyDescent="0.2">
      <c r="A34" s="83" t="s">
        <v>11</v>
      </c>
      <c r="B34" s="84" t="s">
        <v>47</v>
      </c>
      <c r="C34" s="80"/>
      <c r="D34" s="80"/>
      <c r="E34" s="80"/>
      <c r="F34" s="81">
        <f>+L16</f>
        <v>727324</v>
      </c>
      <c r="G34" s="82" t="s">
        <v>53</v>
      </c>
      <c r="H34" s="85" t="s">
        <v>52</v>
      </c>
      <c r="I34" s="85" t="s">
        <v>1</v>
      </c>
      <c r="J34" s="85" t="s">
        <v>2</v>
      </c>
      <c r="K34" s="86"/>
      <c r="L34" s="88" t="s">
        <v>52</v>
      </c>
      <c r="M34" s="89" t="s">
        <v>35</v>
      </c>
      <c r="N34" s="88" t="s">
        <v>1</v>
      </c>
      <c r="O34" s="89" t="s">
        <v>67</v>
      </c>
      <c r="P34" s="89" t="s">
        <v>2</v>
      </c>
      <c r="Q34" s="157" t="s">
        <v>76</v>
      </c>
      <c r="R34" s="157" t="s">
        <v>60</v>
      </c>
      <c r="S34" s="90" t="s">
        <v>9</v>
      </c>
      <c r="T34" s="91" t="s">
        <v>74</v>
      </c>
      <c r="U34" s="92" t="s">
        <v>10</v>
      </c>
      <c r="V34" s="87" t="s">
        <v>56</v>
      </c>
      <c r="W34" s="87" t="s">
        <v>57</v>
      </c>
      <c r="X34" s="122" t="s">
        <v>58</v>
      </c>
      <c r="Y34" s="122" t="s">
        <v>68</v>
      </c>
      <c r="Z34" s="122" t="s">
        <v>62</v>
      </c>
      <c r="AA34" s="122" t="s">
        <v>72</v>
      </c>
      <c r="AB34" s="122" t="s">
        <v>59</v>
      </c>
    </row>
    <row r="35" spans="1:28" x14ac:dyDescent="0.2">
      <c r="A35" s="83" t="s">
        <v>11</v>
      </c>
      <c r="B35" s="84" t="s">
        <v>13</v>
      </c>
      <c r="C35" s="84"/>
      <c r="D35" s="84"/>
      <c r="E35" s="84"/>
      <c r="F35" s="81">
        <f>+M9</f>
        <v>138191</v>
      </c>
      <c r="G35" s="86" t="s">
        <v>22</v>
      </c>
      <c r="H35" s="93">
        <v>362422</v>
      </c>
      <c r="I35" s="93">
        <f t="shared" ref="I35:I46" si="9">ROUND((H35*0.19),0)</f>
        <v>68860</v>
      </c>
      <c r="J35" s="93">
        <f>SUM(H35:I35)</f>
        <v>431282</v>
      </c>
      <c r="K35" s="86"/>
      <c r="L35" s="96">
        <v>206080</v>
      </c>
      <c r="M35" s="96">
        <v>0</v>
      </c>
      <c r="N35" s="96">
        <v>39155</v>
      </c>
      <c r="O35" s="97">
        <v>0</v>
      </c>
      <c r="P35" s="97">
        <f>SUM(L35:O35)</f>
        <v>245235</v>
      </c>
      <c r="Q35" s="158">
        <v>0</v>
      </c>
      <c r="R35" s="158">
        <v>0</v>
      </c>
      <c r="S35" s="98">
        <v>0</v>
      </c>
      <c r="T35" s="98">
        <f>+S35*0.13</f>
        <v>0</v>
      </c>
      <c r="U35" s="98">
        <f t="shared" ref="U35:U46" si="10">+S35-T35</f>
        <v>0</v>
      </c>
      <c r="V35" s="94">
        <v>0.1</v>
      </c>
      <c r="W35" s="95">
        <f t="shared" ref="W35:W46" si="11">ROUND((H35*V35),2)</f>
        <v>36242.199999999997</v>
      </c>
      <c r="X35" s="123">
        <v>0</v>
      </c>
      <c r="Y35" s="123">
        <v>0</v>
      </c>
      <c r="Z35" s="123">
        <v>48000</v>
      </c>
      <c r="AA35" s="123">
        <v>0</v>
      </c>
      <c r="AB35" s="123">
        <v>30084</v>
      </c>
    </row>
    <row r="36" spans="1:28" x14ac:dyDescent="0.2">
      <c r="A36" s="83" t="s">
        <v>11</v>
      </c>
      <c r="B36" s="99" t="s">
        <v>45</v>
      </c>
      <c r="C36" s="84"/>
      <c r="D36" s="84"/>
      <c r="E36" s="84"/>
      <c r="F36" s="100">
        <f>+M12</f>
        <v>0</v>
      </c>
      <c r="G36" s="86" t="s">
        <v>23</v>
      </c>
      <c r="H36" s="93">
        <v>727324</v>
      </c>
      <c r="I36" s="93">
        <v>138191</v>
      </c>
      <c r="J36" s="93">
        <f t="shared" ref="J36:J46" si="12">SUM(H36:I36)</f>
        <v>865515</v>
      </c>
      <c r="K36" s="86"/>
      <c r="L36" s="96">
        <v>24120</v>
      </c>
      <c r="M36" s="96">
        <v>0</v>
      </c>
      <c r="N36" s="96">
        <v>4583</v>
      </c>
      <c r="O36" s="97">
        <v>0</v>
      </c>
      <c r="P36" s="97">
        <f t="shared" ref="P36:P46" si="13">SUM(L36:O36)</f>
        <v>28703</v>
      </c>
      <c r="Q36" s="158">
        <v>0</v>
      </c>
      <c r="R36" s="158">
        <v>0</v>
      </c>
      <c r="S36" s="98">
        <v>0</v>
      </c>
      <c r="T36" s="98">
        <f t="shared" ref="T36:T46" si="14">+S36*0.13</f>
        <v>0</v>
      </c>
      <c r="U36" s="98">
        <f t="shared" si="10"/>
        <v>0</v>
      </c>
      <c r="V36" s="94">
        <v>0.1</v>
      </c>
      <c r="W36" s="95">
        <f t="shared" si="11"/>
        <v>72732.399999999994</v>
      </c>
      <c r="X36" s="123">
        <v>0</v>
      </c>
      <c r="Y36" s="123">
        <v>0</v>
      </c>
      <c r="Z36" s="123">
        <v>48000</v>
      </c>
      <c r="AA36" s="123">
        <v>0</v>
      </c>
      <c r="AB36" s="123">
        <v>0</v>
      </c>
    </row>
    <row r="37" spans="1:28" s="4" customFormat="1" x14ac:dyDescent="0.2">
      <c r="A37" s="83" t="s">
        <v>11</v>
      </c>
      <c r="B37" s="101" t="s">
        <v>64</v>
      </c>
      <c r="C37" s="101"/>
      <c r="D37" s="84"/>
      <c r="E37" s="84"/>
      <c r="F37" s="102">
        <v>0</v>
      </c>
      <c r="G37" s="86" t="s">
        <v>24</v>
      </c>
      <c r="H37" s="93">
        <v>0</v>
      </c>
      <c r="I37" s="93">
        <f t="shared" si="9"/>
        <v>0</v>
      </c>
      <c r="J37" s="93">
        <f t="shared" si="12"/>
        <v>0</v>
      </c>
      <c r="K37" s="86"/>
      <c r="L37" s="96">
        <v>0</v>
      </c>
      <c r="M37" s="96">
        <v>0</v>
      </c>
      <c r="N37" s="96">
        <v>0</v>
      </c>
      <c r="O37" s="97">
        <v>0</v>
      </c>
      <c r="P37" s="97">
        <f t="shared" si="13"/>
        <v>0</v>
      </c>
      <c r="Q37" s="158">
        <v>0</v>
      </c>
      <c r="R37" s="158">
        <v>0</v>
      </c>
      <c r="S37" s="98">
        <v>0</v>
      </c>
      <c r="T37" s="98">
        <f t="shared" si="14"/>
        <v>0</v>
      </c>
      <c r="U37" s="98">
        <f t="shared" si="10"/>
        <v>0</v>
      </c>
      <c r="V37" s="94"/>
      <c r="W37" s="95">
        <f t="shared" si="11"/>
        <v>0</v>
      </c>
      <c r="X37" s="123">
        <v>0</v>
      </c>
      <c r="Y37" s="123">
        <v>0</v>
      </c>
      <c r="Z37" s="123">
        <v>0</v>
      </c>
      <c r="AA37" s="123">
        <v>0</v>
      </c>
      <c r="AB37" s="123">
        <v>0</v>
      </c>
    </row>
    <row r="38" spans="1:28" s="4" customFormat="1" x14ac:dyDescent="0.2">
      <c r="A38" s="83" t="s">
        <v>11</v>
      </c>
      <c r="B38" s="84" t="s">
        <v>63</v>
      </c>
      <c r="C38" s="84"/>
      <c r="D38" s="84"/>
      <c r="E38" s="84"/>
      <c r="F38" s="103">
        <f>SUM(F35:F36)</f>
        <v>138191</v>
      </c>
      <c r="G38" s="86" t="s">
        <v>25</v>
      </c>
      <c r="H38" s="93">
        <v>0</v>
      </c>
      <c r="I38" s="93">
        <f t="shared" si="9"/>
        <v>0</v>
      </c>
      <c r="J38" s="93">
        <f t="shared" si="12"/>
        <v>0</v>
      </c>
      <c r="K38" s="93"/>
      <c r="L38" s="96">
        <v>0</v>
      </c>
      <c r="M38" s="96">
        <v>0</v>
      </c>
      <c r="N38" s="96">
        <v>0</v>
      </c>
      <c r="O38" s="97">
        <v>0</v>
      </c>
      <c r="P38" s="97">
        <f t="shared" si="13"/>
        <v>0</v>
      </c>
      <c r="Q38" s="158">
        <v>0</v>
      </c>
      <c r="R38" s="158">
        <v>0</v>
      </c>
      <c r="S38" s="98">
        <v>0</v>
      </c>
      <c r="T38" s="98">
        <f t="shared" si="14"/>
        <v>0</v>
      </c>
      <c r="U38" s="98">
        <f t="shared" si="10"/>
        <v>0</v>
      </c>
      <c r="V38" s="94"/>
      <c r="W38" s="95">
        <f t="shared" si="11"/>
        <v>0</v>
      </c>
      <c r="X38" s="123">
        <v>0</v>
      </c>
      <c r="Y38" s="123">
        <v>0</v>
      </c>
      <c r="Z38" s="123">
        <v>0</v>
      </c>
      <c r="AA38" s="123">
        <v>0</v>
      </c>
      <c r="AB38" s="123">
        <v>0</v>
      </c>
    </row>
    <row r="39" spans="1:28" s="4" customFormat="1" x14ac:dyDescent="0.2">
      <c r="A39" s="83" t="s">
        <v>11</v>
      </c>
      <c r="B39" s="99" t="s">
        <v>14</v>
      </c>
      <c r="C39" s="84"/>
      <c r="D39" s="84"/>
      <c r="E39" s="84"/>
      <c r="F39" s="100">
        <f>-N21</f>
        <v>-4583</v>
      </c>
      <c r="G39" s="86" t="s">
        <v>26</v>
      </c>
      <c r="H39" s="93">
        <v>0</v>
      </c>
      <c r="I39" s="93">
        <f t="shared" si="9"/>
        <v>0</v>
      </c>
      <c r="J39" s="93">
        <f t="shared" si="12"/>
        <v>0</v>
      </c>
      <c r="K39" s="93"/>
      <c r="L39" s="96">
        <v>0</v>
      </c>
      <c r="M39" s="96">
        <v>0</v>
      </c>
      <c r="N39" s="96">
        <v>0</v>
      </c>
      <c r="O39" s="97">
        <v>0</v>
      </c>
      <c r="P39" s="97">
        <f t="shared" si="13"/>
        <v>0</v>
      </c>
      <c r="Q39" s="158">
        <v>0</v>
      </c>
      <c r="R39" s="158">
        <v>0</v>
      </c>
      <c r="S39" s="98">
        <v>0</v>
      </c>
      <c r="T39" s="98">
        <f t="shared" si="14"/>
        <v>0</v>
      </c>
      <c r="U39" s="98">
        <f t="shared" si="10"/>
        <v>0</v>
      </c>
      <c r="V39" s="94"/>
      <c r="W39" s="95">
        <f t="shared" si="11"/>
        <v>0</v>
      </c>
      <c r="X39" s="123">
        <v>0</v>
      </c>
      <c r="Y39" s="123">
        <v>0</v>
      </c>
      <c r="Z39" s="123">
        <v>0</v>
      </c>
      <c r="AA39" s="123">
        <v>0</v>
      </c>
      <c r="AB39" s="123">
        <v>0</v>
      </c>
    </row>
    <row r="40" spans="1:28" s="4" customFormat="1" x14ac:dyDescent="0.2">
      <c r="A40" s="83" t="s">
        <v>11</v>
      </c>
      <c r="B40" s="101" t="s">
        <v>46</v>
      </c>
      <c r="C40" s="101"/>
      <c r="D40" s="101"/>
      <c r="E40" s="101"/>
      <c r="F40" s="108">
        <f>-N24</f>
        <v>0</v>
      </c>
      <c r="G40" s="86" t="s">
        <v>27</v>
      </c>
      <c r="H40" s="93">
        <v>0</v>
      </c>
      <c r="I40" s="93">
        <f t="shared" si="9"/>
        <v>0</v>
      </c>
      <c r="J40" s="93">
        <f t="shared" si="12"/>
        <v>0</v>
      </c>
      <c r="K40" s="93"/>
      <c r="L40" s="96">
        <v>0</v>
      </c>
      <c r="M40" s="96">
        <v>0</v>
      </c>
      <c r="N40" s="96">
        <v>0</v>
      </c>
      <c r="O40" s="97">
        <v>0</v>
      </c>
      <c r="P40" s="97">
        <f t="shared" si="13"/>
        <v>0</v>
      </c>
      <c r="Q40" s="158">
        <v>0</v>
      </c>
      <c r="R40" s="158">
        <v>0</v>
      </c>
      <c r="S40" s="98">
        <v>0</v>
      </c>
      <c r="T40" s="98">
        <f t="shared" si="14"/>
        <v>0</v>
      </c>
      <c r="U40" s="98">
        <f t="shared" si="10"/>
        <v>0</v>
      </c>
      <c r="V40" s="94"/>
      <c r="W40" s="95">
        <f t="shared" si="11"/>
        <v>0</v>
      </c>
      <c r="X40" s="123">
        <v>0</v>
      </c>
      <c r="Y40" s="123">
        <v>0</v>
      </c>
      <c r="Z40" s="123">
        <v>0</v>
      </c>
      <c r="AA40" s="123">
        <v>0</v>
      </c>
      <c r="AB40" s="123">
        <v>0</v>
      </c>
    </row>
    <row r="41" spans="1:28" s="4" customFormat="1" x14ac:dyDescent="0.2">
      <c r="A41" s="83" t="s">
        <v>11</v>
      </c>
      <c r="B41" s="84" t="s">
        <v>15</v>
      </c>
      <c r="C41" s="84"/>
      <c r="D41" s="84"/>
      <c r="E41" s="84"/>
      <c r="F41" s="81">
        <f>SUM(F38:F40)</f>
        <v>133608</v>
      </c>
      <c r="G41" s="86" t="s">
        <v>28</v>
      </c>
      <c r="H41" s="93">
        <v>0</v>
      </c>
      <c r="I41" s="93">
        <f t="shared" si="9"/>
        <v>0</v>
      </c>
      <c r="J41" s="93">
        <f t="shared" si="12"/>
        <v>0</v>
      </c>
      <c r="K41" s="93"/>
      <c r="L41" s="96">
        <v>0</v>
      </c>
      <c r="M41" s="96">
        <v>0</v>
      </c>
      <c r="N41" s="96">
        <v>0</v>
      </c>
      <c r="O41" s="97">
        <v>0</v>
      </c>
      <c r="P41" s="97">
        <f t="shared" si="13"/>
        <v>0</v>
      </c>
      <c r="Q41" s="158">
        <v>0</v>
      </c>
      <c r="R41" s="158">
        <v>0</v>
      </c>
      <c r="S41" s="98">
        <v>0</v>
      </c>
      <c r="T41" s="98">
        <f t="shared" si="14"/>
        <v>0</v>
      </c>
      <c r="U41" s="98">
        <f t="shared" si="10"/>
        <v>0</v>
      </c>
      <c r="V41" s="94"/>
      <c r="W41" s="95">
        <f t="shared" si="11"/>
        <v>0</v>
      </c>
      <c r="X41" s="123">
        <v>0</v>
      </c>
      <c r="Y41" s="123">
        <v>0</v>
      </c>
      <c r="Z41" s="123">
        <v>0</v>
      </c>
      <c r="AA41" s="123">
        <v>0</v>
      </c>
      <c r="AB41" s="123">
        <v>0</v>
      </c>
    </row>
    <row r="42" spans="1:28" s="4" customFormat="1" x14ac:dyDescent="0.2">
      <c r="A42" s="83" t="s">
        <v>11</v>
      </c>
      <c r="B42" s="84" t="s">
        <v>34</v>
      </c>
      <c r="C42" s="84"/>
      <c r="D42" s="84"/>
      <c r="E42" s="84"/>
      <c r="F42" s="81">
        <f>+M31</f>
        <v>0</v>
      </c>
      <c r="G42" s="86" t="s">
        <v>29</v>
      </c>
      <c r="H42" s="93">
        <v>0</v>
      </c>
      <c r="I42" s="93">
        <f t="shared" si="9"/>
        <v>0</v>
      </c>
      <c r="J42" s="93">
        <f t="shared" si="12"/>
        <v>0</v>
      </c>
      <c r="K42" s="93"/>
      <c r="L42" s="96">
        <v>0</v>
      </c>
      <c r="M42" s="96">
        <v>0</v>
      </c>
      <c r="N42" s="96">
        <v>0</v>
      </c>
      <c r="O42" s="97">
        <v>0</v>
      </c>
      <c r="P42" s="97">
        <f t="shared" si="13"/>
        <v>0</v>
      </c>
      <c r="Q42" s="158">
        <v>0</v>
      </c>
      <c r="R42" s="158">
        <v>0</v>
      </c>
      <c r="S42" s="98">
        <v>0</v>
      </c>
      <c r="T42" s="98">
        <f t="shared" si="14"/>
        <v>0</v>
      </c>
      <c r="U42" s="98">
        <f t="shared" si="10"/>
        <v>0</v>
      </c>
      <c r="V42" s="94"/>
      <c r="W42" s="95">
        <f t="shared" si="11"/>
        <v>0</v>
      </c>
      <c r="X42" s="123">
        <v>0</v>
      </c>
      <c r="Y42" s="123">
        <v>0</v>
      </c>
      <c r="Z42" s="123">
        <v>0</v>
      </c>
      <c r="AA42" s="123">
        <v>0</v>
      </c>
      <c r="AB42" s="123">
        <v>0</v>
      </c>
    </row>
    <row r="43" spans="1:28" s="4" customFormat="1" x14ac:dyDescent="0.2">
      <c r="A43" s="83" t="s">
        <v>11</v>
      </c>
      <c r="B43" s="84" t="s">
        <v>12</v>
      </c>
      <c r="C43" s="84"/>
      <c r="D43" s="104">
        <v>0.1</v>
      </c>
      <c r="E43" s="84"/>
      <c r="F43" s="81">
        <f>ROUND((L16*D43),0)</f>
        <v>72732</v>
      </c>
      <c r="G43" s="86" t="s">
        <v>30</v>
      </c>
      <c r="H43" s="93">
        <v>0</v>
      </c>
      <c r="I43" s="93">
        <f t="shared" si="9"/>
        <v>0</v>
      </c>
      <c r="J43" s="93">
        <f t="shared" si="12"/>
        <v>0</v>
      </c>
      <c r="K43" s="93"/>
      <c r="L43" s="96">
        <v>0</v>
      </c>
      <c r="M43" s="96">
        <v>0</v>
      </c>
      <c r="N43" s="96">
        <v>0</v>
      </c>
      <c r="O43" s="97">
        <v>0</v>
      </c>
      <c r="P43" s="97">
        <f t="shared" si="13"/>
        <v>0</v>
      </c>
      <c r="Q43" s="158">
        <v>0</v>
      </c>
      <c r="R43" s="158">
        <v>0</v>
      </c>
      <c r="S43" s="98">
        <v>0</v>
      </c>
      <c r="T43" s="98">
        <f t="shared" si="14"/>
        <v>0</v>
      </c>
      <c r="U43" s="98">
        <f t="shared" si="10"/>
        <v>0</v>
      </c>
      <c r="V43" s="94"/>
      <c r="W43" s="95">
        <f t="shared" si="11"/>
        <v>0</v>
      </c>
      <c r="X43" s="123">
        <v>0</v>
      </c>
      <c r="Y43" s="123">
        <v>0</v>
      </c>
      <c r="Z43" s="123">
        <v>0</v>
      </c>
      <c r="AA43" s="123">
        <v>0</v>
      </c>
      <c r="AB43" s="123">
        <v>0</v>
      </c>
    </row>
    <row r="44" spans="1:28" s="4" customFormat="1" x14ac:dyDescent="0.2">
      <c r="A44" s="83" t="s">
        <v>11</v>
      </c>
      <c r="B44" s="105" t="s">
        <v>66</v>
      </c>
      <c r="C44" s="106"/>
      <c r="D44" s="106"/>
      <c r="E44" s="84"/>
      <c r="F44" s="107">
        <v>0</v>
      </c>
      <c r="G44" s="86" t="s">
        <v>31</v>
      </c>
      <c r="H44" s="93">
        <v>0</v>
      </c>
      <c r="I44" s="93">
        <f t="shared" si="9"/>
        <v>0</v>
      </c>
      <c r="J44" s="93">
        <f t="shared" si="12"/>
        <v>0</v>
      </c>
      <c r="K44" s="93"/>
      <c r="L44" s="96">
        <v>0</v>
      </c>
      <c r="M44" s="96">
        <v>0</v>
      </c>
      <c r="N44" s="96">
        <v>0</v>
      </c>
      <c r="O44" s="97">
        <v>0</v>
      </c>
      <c r="P44" s="97">
        <f t="shared" si="13"/>
        <v>0</v>
      </c>
      <c r="Q44" s="158">
        <v>0</v>
      </c>
      <c r="R44" s="158">
        <v>0</v>
      </c>
      <c r="S44" s="98">
        <v>0</v>
      </c>
      <c r="T44" s="98">
        <f t="shared" si="14"/>
        <v>0</v>
      </c>
      <c r="U44" s="98">
        <f t="shared" si="10"/>
        <v>0</v>
      </c>
      <c r="V44" s="94"/>
      <c r="W44" s="95">
        <f t="shared" si="11"/>
        <v>0</v>
      </c>
      <c r="X44" s="123">
        <v>0</v>
      </c>
      <c r="Y44" s="123">
        <v>0</v>
      </c>
      <c r="Z44" s="123">
        <v>0</v>
      </c>
      <c r="AA44" s="123">
        <v>0</v>
      </c>
      <c r="AB44" s="123">
        <v>0</v>
      </c>
    </row>
    <row r="45" spans="1:28" s="4" customFormat="1" x14ac:dyDescent="0.2">
      <c r="A45" s="83" t="s">
        <v>11</v>
      </c>
      <c r="B45" s="106" t="s">
        <v>19</v>
      </c>
      <c r="C45" s="106"/>
      <c r="D45" s="106"/>
      <c r="E45" s="84"/>
      <c r="F45" s="108">
        <f>SUM(F41:F43)</f>
        <v>206340</v>
      </c>
      <c r="G45" s="86" t="s">
        <v>32</v>
      </c>
      <c r="H45" s="93">
        <v>0</v>
      </c>
      <c r="I45" s="93">
        <f t="shared" si="9"/>
        <v>0</v>
      </c>
      <c r="J45" s="93">
        <f t="shared" si="12"/>
        <v>0</v>
      </c>
      <c r="K45" s="93"/>
      <c r="L45" s="96">
        <v>0</v>
      </c>
      <c r="M45" s="96">
        <v>0</v>
      </c>
      <c r="N45" s="96">
        <v>0</v>
      </c>
      <c r="O45" s="97">
        <v>0</v>
      </c>
      <c r="P45" s="97">
        <f t="shared" si="13"/>
        <v>0</v>
      </c>
      <c r="Q45" s="158">
        <v>0</v>
      </c>
      <c r="R45" s="158">
        <v>0</v>
      </c>
      <c r="S45" s="98">
        <v>0</v>
      </c>
      <c r="T45" s="98">
        <f t="shared" si="14"/>
        <v>0</v>
      </c>
      <c r="U45" s="98">
        <f t="shared" si="10"/>
        <v>0</v>
      </c>
      <c r="V45" s="94"/>
      <c r="W45" s="95">
        <f t="shared" si="11"/>
        <v>0</v>
      </c>
      <c r="X45" s="123">
        <v>0</v>
      </c>
      <c r="Y45" s="123">
        <v>0</v>
      </c>
      <c r="Z45" s="123">
        <v>0</v>
      </c>
      <c r="AA45" s="123">
        <v>0</v>
      </c>
      <c r="AB45" s="123">
        <v>0</v>
      </c>
    </row>
    <row r="46" spans="1:28" s="4" customFormat="1" x14ac:dyDescent="0.2">
      <c r="A46" s="109" t="s">
        <v>20</v>
      </c>
      <c r="B46" s="110"/>
      <c r="C46" s="110"/>
      <c r="D46" s="110"/>
      <c r="E46" s="110"/>
      <c r="F46" s="111">
        <f>+F41+F43</f>
        <v>206340</v>
      </c>
      <c r="G46" s="86" t="s">
        <v>33</v>
      </c>
      <c r="H46" s="93">
        <v>0</v>
      </c>
      <c r="I46" s="93">
        <f t="shared" si="9"/>
        <v>0</v>
      </c>
      <c r="J46" s="93">
        <f t="shared" si="12"/>
        <v>0</v>
      </c>
      <c r="K46" s="93"/>
      <c r="L46" s="96">
        <v>0</v>
      </c>
      <c r="M46" s="96">
        <v>0</v>
      </c>
      <c r="N46" s="96">
        <v>0</v>
      </c>
      <c r="O46" s="97">
        <v>0</v>
      </c>
      <c r="P46" s="97">
        <f t="shared" si="13"/>
        <v>0</v>
      </c>
      <c r="Q46" s="158">
        <v>0</v>
      </c>
      <c r="R46" s="158">
        <v>0</v>
      </c>
      <c r="S46" s="98">
        <v>0</v>
      </c>
      <c r="T46" s="98">
        <f t="shared" si="14"/>
        <v>0</v>
      </c>
      <c r="U46" s="98">
        <f t="shared" si="10"/>
        <v>0</v>
      </c>
      <c r="V46" s="94"/>
      <c r="W46" s="95">
        <f t="shared" si="11"/>
        <v>0</v>
      </c>
      <c r="X46" s="123">
        <v>0</v>
      </c>
      <c r="Y46" s="123">
        <v>0</v>
      </c>
      <c r="Z46" s="123">
        <v>0</v>
      </c>
      <c r="AA46" s="123">
        <v>0</v>
      </c>
      <c r="AB46" s="123">
        <v>0</v>
      </c>
    </row>
    <row r="47" spans="1:28" s="4" customFormat="1" x14ac:dyDescent="0.2">
      <c r="A47" s="109" t="s">
        <v>21</v>
      </c>
      <c r="B47" s="110"/>
      <c r="C47" s="110"/>
      <c r="D47" s="110"/>
      <c r="E47" s="110"/>
      <c r="F47" s="112">
        <f>+F46/L16</f>
        <v>0.28369749932629751</v>
      </c>
      <c r="G47" s="113" t="s">
        <v>36</v>
      </c>
      <c r="H47" s="114">
        <f>SUM(H35:H46)</f>
        <v>1089746</v>
      </c>
      <c r="I47" s="114">
        <f>SUM(I35:I46)</f>
        <v>207051</v>
      </c>
      <c r="J47" s="114">
        <f>SUM(J35:J46)</f>
        <v>1296797</v>
      </c>
      <c r="K47" s="93"/>
      <c r="L47" s="116">
        <f>SUM(L35:L46)</f>
        <v>230200</v>
      </c>
      <c r="M47" s="116">
        <f t="shared" ref="M47:P47" si="15">SUM(M35:M46)</f>
        <v>0</v>
      </c>
      <c r="N47" s="116">
        <f t="shared" si="15"/>
        <v>43738</v>
      </c>
      <c r="O47" s="116">
        <f t="shared" si="15"/>
        <v>0</v>
      </c>
      <c r="P47" s="116">
        <f t="shared" si="15"/>
        <v>273938</v>
      </c>
      <c r="Q47" s="159">
        <f>SUM(Q35:Q46)</f>
        <v>0</v>
      </c>
      <c r="R47" s="159">
        <f>SUM(R35:R46)</f>
        <v>0</v>
      </c>
      <c r="S47" s="117">
        <f>SUM(S35:S46)</f>
        <v>0</v>
      </c>
      <c r="T47" s="117">
        <f t="shared" ref="T47:U47" si="16">SUM(T35:T46)</f>
        <v>0</v>
      </c>
      <c r="U47" s="117">
        <f t="shared" si="16"/>
        <v>0</v>
      </c>
      <c r="V47" s="144">
        <f>SUM(V35:V46)</f>
        <v>0.2</v>
      </c>
      <c r="W47" s="115">
        <f>SUM(W35:W46)</f>
        <v>108974.59999999999</v>
      </c>
      <c r="X47" s="124">
        <f>SUM(X35:X46)</f>
        <v>0</v>
      </c>
      <c r="Y47" s="124">
        <f t="shared" ref="Y47:AB47" si="17">SUM(Y35:Y46)</f>
        <v>0</v>
      </c>
      <c r="Z47" s="124">
        <f t="shared" si="17"/>
        <v>96000</v>
      </c>
      <c r="AA47" s="124">
        <f>SUM(AA35:AA46)</f>
        <v>0</v>
      </c>
      <c r="AB47" s="124">
        <f t="shared" si="17"/>
        <v>30084</v>
      </c>
    </row>
    <row r="48" spans="1:28" s="4" customFormat="1" x14ac:dyDescent="0.2">
      <c r="A48" s="118" t="s">
        <v>125</v>
      </c>
      <c r="B48" s="119"/>
      <c r="C48" s="119"/>
      <c r="D48" s="119"/>
      <c r="E48" s="119"/>
      <c r="F48" s="120">
        <f>+F41/L16</f>
        <v>0.18369804928752523</v>
      </c>
      <c r="G48" s="145" t="s">
        <v>54</v>
      </c>
      <c r="H48" s="146">
        <f>+H47/2</f>
        <v>544873</v>
      </c>
      <c r="I48" s="146">
        <f>+I47/2</f>
        <v>103525.5</v>
      </c>
      <c r="J48" s="146">
        <f>+J47/2</f>
        <v>648398.5</v>
      </c>
      <c r="K48" s="145"/>
      <c r="L48" s="149">
        <f t="shared" ref="L48:AB48" si="18">+L47/2</f>
        <v>115100</v>
      </c>
      <c r="M48" s="149">
        <f t="shared" si="18"/>
        <v>0</v>
      </c>
      <c r="N48" s="149">
        <f t="shared" si="18"/>
        <v>21869</v>
      </c>
      <c r="O48" s="149">
        <f t="shared" si="18"/>
        <v>0</v>
      </c>
      <c r="P48" s="149">
        <f t="shared" si="18"/>
        <v>136969</v>
      </c>
      <c r="Q48" s="160">
        <f t="shared" si="18"/>
        <v>0</v>
      </c>
      <c r="R48" s="160">
        <f t="shared" si="18"/>
        <v>0</v>
      </c>
      <c r="S48" s="150">
        <f t="shared" si="18"/>
        <v>0</v>
      </c>
      <c r="T48" s="150">
        <f t="shared" si="18"/>
        <v>0</v>
      </c>
      <c r="U48" s="150">
        <f t="shared" si="18"/>
        <v>0</v>
      </c>
      <c r="V48" s="147">
        <f t="shared" si="18"/>
        <v>0.1</v>
      </c>
      <c r="W48" s="148">
        <f t="shared" si="18"/>
        <v>54487.299999999996</v>
      </c>
      <c r="X48" s="151">
        <f t="shared" si="18"/>
        <v>0</v>
      </c>
      <c r="Y48" s="151">
        <f t="shared" si="18"/>
        <v>0</v>
      </c>
      <c r="Z48" s="151">
        <f t="shared" si="18"/>
        <v>48000</v>
      </c>
      <c r="AA48" s="151">
        <f t="shared" si="18"/>
        <v>0</v>
      </c>
      <c r="AB48" s="151">
        <f t="shared" si="18"/>
        <v>15042</v>
      </c>
    </row>
    <row r="49" spans="1:35" s="4" customFormat="1" x14ac:dyDescent="0.2">
      <c r="A49" s="2"/>
      <c r="B49" s="2"/>
      <c r="C49" s="2"/>
      <c r="D49" s="2"/>
      <c r="E49" s="2"/>
      <c r="F49" s="2"/>
      <c r="G49" s="2"/>
      <c r="Q49" s="2"/>
      <c r="R49" s="2"/>
      <c r="T49" s="2"/>
      <c r="U49" s="2"/>
    </row>
    <row r="50" spans="1:35" x14ac:dyDescent="0.2">
      <c r="X50" s="121"/>
      <c r="AB50" s="121"/>
      <c r="AD50" s="4"/>
      <c r="AF50" s="121"/>
      <c r="AI50" s="121">
        <v>-4.5</v>
      </c>
    </row>
    <row r="51" spans="1:35" x14ac:dyDescent="0.2">
      <c r="AD51" s="4"/>
    </row>
  </sheetData>
  <mergeCells count="12">
    <mergeCell ref="X33:AB33"/>
    <mergeCell ref="A33:F33"/>
    <mergeCell ref="G33:K33"/>
    <mergeCell ref="L33:P33"/>
    <mergeCell ref="Q33:R33"/>
    <mergeCell ref="S33:U33"/>
    <mergeCell ref="V33:W33"/>
    <mergeCell ref="B3:D3"/>
    <mergeCell ref="E3:F3"/>
    <mergeCell ref="E4:F4"/>
    <mergeCell ref="E19:F19"/>
    <mergeCell ref="E28:F28"/>
  </mergeCells>
  <pageMargins left="0.7" right="0.7" top="0.75" bottom="0.75" header="0.3" footer="0.3"/>
  <pageSetup orientation="portrait" horizontalDpi="200" verticalDpi="200" r:id="rId1"/>
  <ignoredErrors>
    <ignoredError sqref="P21 N25 M9:N13" formula="1"/>
    <ignoredError sqref="P20" formulaRange="1"/>
  </ignoredError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1A85-CBE0-4B90-9B6F-7A94CCCE8C8E}">
  <dimension ref="A1:AK55"/>
  <sheetViews>
    <sheetView zoomScale="117" zoomScaleNormal="117" workbookViewId="0">
      <pane ySplit="4" topLeftCell="A15" activePane="bottomLeft" state="frozen"/>
      <selection pane="bottomLeft" activeCell="W21" sqref="W21"/>
    </sheetView>
  </sheetViews>
  <sheetFormatPr baseColWidth="10" defaultColWidth="11.42578125" defaultRowHeight="11.25" x14ac:dyDescent="0.2"/>
  <cols>
    <col min="1" max="3" width="3.7109375" style="2" customWidth="1"/>
    <col min="4" max="4" width="5.7109375" style="2" customWidth="1"/>
    <col min="5" max="5" width="3.7109375" style="2" customWidth="1"/>
    <col min="6" max="10" width="9.28515625" style="2" customWidth="1"/>
    <col min="11" max="11" width="1.7109375" style="2" customWidth="1"/>
    <col min="12" max="17" width="9.28515625" style="2" customWidth="1"/>
    <col min="18" max="18" width="9.28515625" style="4" customWidth="1"/>
    <col min="19" max="28" width="9.28515625" style="2" customWidth="1"/>
    <col min="29" max="16384" width="11.42578125" style="2"/>
  </cols>
  <sheetData>
    <row r="1" spans="1:28" s="4" customFormat="1" x14ac:dyDescent="0.2">
      <c r="A1" s="174" t="s">
        <v>105</v>
      </c>
      <c r="B1" s="175"/>
      <c r="C1" s="175"/>
      <c r="D1" s="175"/>
      <c r="E1" s="176"/>
      <c r="F1" s="176"/>
      <c r="G1" s="37" t="s">
        <v>44</v>
      </c>
      <c r="H1" s="50"/>
      <c r="I1" s="176"/>
      <c r="J1" s="176"/>
      <c r="K1" s="177"/>
      <c r="L1" s="176"/>
      <c r="M1" s="178" t="s">
        <v>92</v>
      </c>
      <c r="N1" s="177">
        <v>2023</v>
      </c>
      <c r="O1" s="3"/>
      <c r="P1" s="3"/>
      <c r="Q1" s="3"/>
    </row>
    <row r="2" spans="1:28" s="4" customFormat="1" x14ac:dyDescent="0.2">
      <c r="A2" s="5" t="s">
        <v>3</v>
      </c>
      <c r="B2" s="6"/>
      <c r="C2" s="6"/>
      <c r="D2" s="6"/>
      <c r="E2" s="6"/>
      <c r="F2" s="7"/>
      <c r="G2" s="2"/>
      <c r="H2" s="2"/>
      <c r="I2" s="2"/>
      <c r="J2" s="8"/>
      <c r="K2" s="8"/>
      <c r="L2" s="3"/>
      <c r="M2" s="3"/>
      <c r="N2" s="3"/>
      <c r="O2" s="3"/>
      <c r="P2" s="3"/>
      <c r="Q2" s="3"/>
    </row>
    <row r="3" spans="1:28" s="4" customFormat="1" x14ac:dyDescent="0.2">
      <c r="A3" s="9" t="s">
        <v>41</v>
      </c>
      <c r="B3" s="189" t="s">
        <v>40</v>
      </c>
      <c r="C3" s="189"/>
      <c r="D3" s="189"/>
      <c r="E3" s="190" t="s">
        <v>82</v>
      </c>
      <c r="F3" s="190"/>
      <c r="G3" s="10"/>
      <c r="H3" s="10"/>
      <c r="I3" s="10"/>
      <c r="J3" s="10"/>
      <c r="K3" s="10"/>
      <c r="L3" s="11"/>
      <c r="M3" s="11"/>
      <c r="N3" s="11"/>
      <c r="O3" s="11"/>
      <c r="P3" s="11"/>
      <c r="Q3" s="11"/>
    </row>
    <row r="4" spans="1:28" s="4" customFormat="1" x14ac:dyDescent="0.2">
      <c r="A4" s="9" t="s">
        <v>42</v>
      </c>
      <c r="B4" s="12" t="s">
        <v>37</v>
      </c>
      <c r="C4" s="12" t="s">
        <v>38</v>
      </c>
      <c r="D4" s="12" t="s">
        <v>39</v>
      </c>
      <c r="E4" s="190" t="s">
        <v>81</v>
      </c>
      <c r="F4" s="190"/>
      <c r="G4" s="9"/>
      <c r="H4" s="9" t="s">
        <v>0</v>
      </c>
      <c r="I4" s="9"/>
      <c r="J4" s="9" t="s">
        <v>5</v>
      </c>
      <c r="K4" s="9"/>
      <c r="L4" s="9" t="s">
        <v>52</v>
      </c>
      <c r="M4" s="9" t="s">
        <v>1</v>
      </c>
      <c r="N4" s="9" t="s">
        <v>2</v>
      </c>
      <c r="O4" s="2"/>
      <c r="P4" s="2"/>
      <c r="Q4" s="2"/>
    </row>
    <row r="5" spans="1:28" s="4" customFormat="1" x14ac:dyDescent="0.2">
      <c r="A5" s="13">
        <v>1</v>
      </c>
      <c r="B5" s="13">
        <v>19</v>
      </c>
      <c r="C5" s="13">
        <v>1</v>
      </c>
      <c r="D5" s="14">
        <v>2023</v>
      </c>
      <c r="E5" s="14" t="s">
        <v>77</v>
      </c>
      <c r="F5" s="167">
        <v>8</v>
      </c>
      <c r="G5" s="15" t="s">
        <v>93</v>
      </c>
      <c r="H5" s="15"/>
      <c r="I5" s="15"/>
      <c r="J5" s="168">
        <v>99147000</v>
      </c>
      <c r="K5" s="14" t="s">
        <v>94</v>
      </c>
      <c r="L5" s="16">
        <v>56214</v>
      </c>
      <c r="M5" s="16">
        <f t="shared" ref="M5:M9" si="0">ROUND((L5*19%),0)</f>
        <v>10681</v>
      </c>
      <c r="N5" s="16">
        <f>ROUND((L5+M5),0)</f>
        <v>66895</v>
      </c>
      <c r="O5" s="2"/>
      <c r="P5" s="2"/>
      <c r="Q5" s="2"/>
    </row>
    <row r="6" spans="1:28" s="4" customFormat="1" x14ac:dyDescent="0.2">
      <c r="A6" s="13">
        <v>2</v>
      </c>
      <c r="B6" s="13">
        <v>23</v>
      </c>
      <c r="C6" s="13">
        <v>1</v>
      </c>
      <c r="D6" s="14">
        <v>2023</v>
      </c>
      <c r="E6" s="14" t="s">
        <v>77</v>
      </c>
      <c r="F6" s="167">
        <v>10</v>
      </c>
      <c r="G6" s="15" t="s">
        <v>95</v>
      </c>
      <c r="H6" s="15"/>
      <c r="I6" s="15"/>
      <c r="J6" s="168">
        <v>99061000</v>
      </c>
      <c r="K6" s="14">
        <v>2</v>
      </c>
      <c r="L6" s="16">
        <v>36269</v>
      </c>
      <c r="M6" s="16">
        <f t="shared" si="0"/>
        <v>6891</v>
      </c>
      <c r="N6" s="16">
        <f t="shared" ref="N6:N9" si="1">ROUND((L6+M6),0)</f>
        <v>43160</v>
      </c>
      <c r="O6" s="2"/>
      <c r="P6" s="2"/>
      <c r="Q6" s="2"/>
    </row>
    <row r="7" spans="1:28" s="4" customFormat="1" x14ac:dyDescent="0.2">
      <c r="A7" s="13">
        <v>3</v>
      </c>
      <c r="B7" s="13">
        <v>23</v>
      </c>
      <c r="C7" s="13">
        <v>1</v>
      </c>
      <c r="D7" s="14">
        <v>2023</v>
      </c>
      <c r="E7" s="14" t="s">
        <v>77</v>
      </c>
      <c r="F7" s="167">
        <v>11</v>
      </c>
      <c r="G7" s="15" t="s">
        <v>95</v>
      </c>
      <c r="H7" s="15"/>
      <c r="I7" s="15"/>
      <c r="J7" s="168">
        <v>99061000</v>
      </c>
      <c r="K7" s="14">
        <v>2</v>
      </c>
      <c r="L7" s="16">
        <v>63294</v>
      </c>
      <c r="M7" s="16">
        <f t="shared" si="0"/>
        <v>12026</v>
      </c>
      <c r="N7" s="16">
        <f t="shared" si="1"/>
        <v>75320</v>
      </c>
      <c r="O7" s="2"/>
      <c r="P7" s="2"/>
      <c r="Q7" s="2"/>
      <c r="R7" s="161"/>
      <c r="S7" s="162"/>
      <c r="T7" s="162"/>
      <c r="U7" s="162"/>
      <c r="V7" s="8"/>
    </row>
    <row r="8" spans="1:28" s="4" customFormat="1" x14ac:dyDescent="0.2">
      <c r="A8" s="13">
        <v>4</v>
      </c>
      <c r="B8" s="13">
        <v>24</v>
      </c>
      <c r="C8" s="13">
        <v>1</v>
      </c>
      <c r="D8" s="14">
        <v>2023</v>
      </c>
      <c r="E8" s="14" t="s">
        <v>77</v>
      </c>
      <c r="F8" s="167">
        <v>12</v>
      </c>
      <c r="G8" s="15" t="s">
        <v>96</v>
      </c>
      <c r="H8" s="15"/>
      <c r="I8" s="15"/>
      <c r="J8" s="168">
        <v>76743492</v>
      </c>
      <c r="K8" s="14">
        <v>8</v>
      </c>
      <c r="L8" s="16">
        <v>140011</v>
      </c>
      <c r="M8" s="16">
        <f t="shared" si="0"/>
        <v>26602</v>
      </c>
      <c r="N8" s="16">
        <f t="shared" si="1"/>
        <v>166613</v>
      </c>
      <c r="O8" s="2"/>
      <c r="P8" s="2"/>
      <c r="Q8" s="2"/>
      <c r="R8" s="8"/>
      <c r="S8" s="2"/>
      <c r="T8" s="163"/>
      <c r="U8" s="2"/>
      <c r="V8" s="164"/>
      <c r="W8" s="8"/>
      <c r="X8" s="165"/>
      <c r="Y8" s="165"/>
      <c r="Z8" s="54"/>
      <c r="AA8" s="165"/>
      <c r="AB8" s="165"/>
    </row>
    <row r="9" spans="1:28" s="4" customFormat="1" x14ac:dyDescent="0.2">
      <c r="A9" s="13">
        <v>5</v>
      </c>
      <c r="B9" s="13">
        <v>24</v>
      </c>
      <c r="C9" s="13">
        <v>1</v>
      </c>
      <c r="D9" s="14">
        <v>2023</v>
      </c>
      <c r="E9" s="14" t="s">
        <v>77</v>
      </c>
      <c r="F9" s="167">
        <v>13</v>
      </c>
      <c r="G9" s="15" t="s">
        <v>96</v>
      </c>
      <c r="H9" s="15"/>
      <c r="I9" s="15"/>
      <c r="J9" s="168">
        <v>76743492</v>
      </c>
      <c r="K9" s="14">
        <v>8</v>
      </c>
      <c r="L9" s="16">
        <v>66634</v>
      </c>
      <c r="M9" s="16">
        <f t="shared" si="0"/>
        <v>12660</v>
      </c>
      <c r="N9" s="16">
        <f t="shared" si="1"/>
        <v>79294</v>
      </c>
      <c r="O9" s="2"/>
      <c r="P9" s="2"/>
      <c r="Q9" s="2"/>
    </row>
    <row r="10" spans="1:28" s="4" customFormat="1" x14ac:dyDescent="0.2">
      <c r="A10" s="1" t="s">
        <v>51</v>
      </c>
      <c r="B10" s="17"/>
      <c r="C10" s="17"/>
      <c r="D10" s="18"/>
      <c r="E10" s="18"/>
      <c r="F10" s="19"/>
      <c r="G10" s="20"/>
      <c r="H10" s="20"/>
      <c r="I10" s="20"/>
      <c r="J10" s="18"/>
      <c r="K10" s="18"/>
      <c r="L10" s="21">
        <f>SUM(L5:L9)</f>
        <v>362422</v>
      </c>
      <c r="M10" s="21">
        <f>SUM(M5:M9)</f>
        <v>68860</v>
      </c>
      <c r="N10" s="21">
        <f>SUM(N5:N9)</f>
        <v>431282</v>
      </c>
      <c r="O10" s="2"/>
      <c r="P10" s="2"/>
    </row>
    <row r="11" spans="1:28" s="4" customFormat="1" x14ac:dyDescent="0.2">
      <c r="A11" s="22">
        <v>1</v>
      </c>
      <c r="B11" s="22"/>
      <c r="C11" s="22">
        <v>1</v>
      </c>
      <c r="D11" s="23">
        <v>2023</v>
      </c>
      <c r="E11" s="23" t="s">
        <v>78</v>
      </c>
      <c r="F11" s="22"/>
      <c r="G11" s="24"/>
      <c r="H11" s="24"/>
      <c r="I11" s="24"/>
      <c r="J11" s="169"/>
      <c r="K11" s="23"/>
      <c r="L11" s="170"/>
      <c r="M11" s="25">
        <f t="shared" ref="M11:M12" si="2">ROUND((L11*19%),0)</f>
        <v>0</v>
      </c>
      <c r="N11" s="25">
        <f>ROUND((L11+M11),0)</f>
        <v>0</v>
      </c>
      <c r="O11" s="2"/>
      <c r="P11" s="2"/>
      <c r="Q11" s="2"/>
    </row>
    <row r="12" spans="1:28" s="4" customFormat="1" x14ac:dyDescent="0.2">
      <c r="A12" s="22">
        <v>2</v>
      </c>
      <c r="B12" s="22"/>
      <c r="C12" s="22">
        <v>1</v>
      </c>
      <c r="D12" s="23">
        <v>2023</v>
      </c>
      <c r="E12" s="23" t="s">
        <v>78</v>
      </c>
      <c r="F12" s="22"/>
      <c r="G12" s="24"/>
      <c r="H12" s="24"/>
      <c r="I12" s="24"/>
      <c r="J12" s="169"/>
      <c r="K12" s="23"/>
      <c r="L12" s="170"/>
      <c r="M12" s="25">
        <f t="shared" si="2"/>
        <v>0</v>
      </c>
      <c r="N12" s="25">
        <f t="shared" ref="N12" si="3">ROUND((L12+M12),0)</f>
        <v>0</v>
      </c>
      <c r="O12" s="2"/>
      <c r="P12" s="2"/>
      <c r="Q12" s="2"/>
    </row>
    <row r="13" spans="1:28" s="4" customFormat="1" x14ac:dyDescent="0.2">
      <c r="A13" s="26" t="s">
        <v>50</v>
      </c>
      <c r="B13" s="27"/>
      <c r="C13" s="27"/>
      <c r="D13" s="28"/>
      <c r="E13" s="28"/>
      <c r="F13" s="29"/>
      <c r="G13" s="30"/>
      <c r="H13" s="30"/>
      <c r="I13" s="30"/>
      <c r="J13" s="28"/>
      <c r="K13" s="28"/>
      <c r="L13" s="31">
        <f>SUM(L11:L12)</f>
        <v>0</v>
      </c>
      <c r="M13" s="31">
        <f>SUM(M11:M12)</f>
        <v>0</v>
      </c>
      <c r="N13" s="31">
        <f>SUM(N11:N12)</f>
        <v>0</v>
      </c>
      <c r="O13" s="30"/>
      <c r="P13" s="30"/>
      <c r="Q13" s="2"/>
      <c r="R13" s="2"/>
      <c r="S13" s="2"/>
    </row>
    <row r="14" spans="1:28" s="4" customFormat="1" x14ac:dyDescent="0.2">
      <c r="A14" s="32">
        <v>1</v>
      </c>
      <c r="B14" s="32"/>
      <c r="C14" s="32">
        <v>1</v>
      </c>
      <c r="D14" s="33">
        <v>2023</v>
      </c>
      <c r="E14" s="33" t="s">
        <v>79</v>
      </c>
      <c r="F14" s="34"/>
      <c r="G14" s="35"/>
      <c r="H14" s="35"/>
      <c r="I14" s="35"/>
      <c r="J14" s="171"/>
      <c r="K14" s="33"/>
      <c r="L14" s="36"/>
      <c r="M14" s="36">
        <f t="shared" ref="M14:M15" si="4">ROUND((L14*19%),0)</f>
        <v>0</v>
      </c>
      <c r="N14" s="36">
        <f t="shared" ref="N14:N15" si="5">SUM(L14:M14)</f>
        <v>0</v>
      </c>
      <c r="O14" s="30"/>
      <c r="P14" s="30"/>
      <c r="R14" s="2"/>
    </row>
    <row r="15" spans="1:28" s="4" customFormat="1" x14ac:dyDescent="0.2">
      <c r="A15" s="32">
        <v>2</v>
      </c>
      <c r="B15" s="32"/>
      <c r="C15" s="32">
        <v>1</v>
      </c>
      <c r="D15" s="33">
        <v>2023</v>
      </c>
      <c r="E15" s="33" t="s">
        <v>79</v>
      </c>
      <c r="F15" s="34"/>
      <c r="G15" s="35"/>
      <c r="H15" s="35"/>
      <c r="I15" s="35"/>
      <c r="J15" s="33"/>
      <c r="K15" s="33"/>
      <c r="L15" s="36"/>
      <c r="M15" s="36">
        <f t="shared" si="4"/>
        <v>0</v>
      </c>
      <c r="N15" s="36">
        <f t="shared" si="5"/>
        <v>0</v>
      </c>
      <c r="O15" s="30"/>
      <c r="P15" s="30"/>
      <c r="Q15" s="2"/>
    </row>
    <row r="16" spans="1:28" s="4" customFormat="1" x14ac:dyDescent="0.2">
      <c r="A16" s="37" t="s">
        <v>65</v>
      </c>
      <c r="B16" s="38"/>
      <c r="C16" s="38"/>
      <c r="D16" s="39"/>
      <c r="E16" s="39"/>
      <c r="F16" s="40"/>
      <c r="G16" s="41"/>
      <c r="H16" s="41"/>
      <c r="I16" s="41"/>
      <c r="J16" s="39"/>
      <c r="K16" s="39"/>
      <c r="L16" s="42">
        <f>SUM(L14:L15)</f>
        <v>0</v>
      </c>
      <c r="M16" s="42">
        <f t="shared" ref="M16:N16" si="6">SUM(M14:M15)</f>
        <v>0</v>
      </c>
      <c r="N16" s="42">
        <f t="shared" si="6"/>
        <v>0</v>
      </c>
      <c r="O16" s="30"/>
      <c r="P16" s="30"/>
      <c r="Q16" s="2"/>
    </row>
    <row r="17" spans="1:37" s="4" customFormat="1" x14ac:dyDescent="0.2">
      <c r="A17" s="43" t="s">
        <v>16</v>
      </c>
      <c r="B17" s="44"/>
      <c r="C17" s="44"/>
      <c r="D17" s="44"/>
      <c r="E17" s="44"/>
      <c r="F17" s="45"/>
      <c r="G17" s="45"/>
      <c r="H17" s="45"/>
      <c r="I17" s="45"/>
      <c r="J17" s="46"/>
      <c r="K17" s="46"/>
      <c r="L17" s="47">
        <f>+L10+L13+L16</f>
        <v>362422</v>
      </c>
      <c r="M17" s="47">
        <f>+M10+M13+M16</f>
        <v>68860</v>
      </c>
      <c r="N17" s="47">
        <f>+N10+N13+N16</f>
        <v>431282</v>
      </c>
      <c r="O17" s="2"/>
      <c r="P17" s="2"/>
      <c r="Q17" s="2"/>
      <c r="S17" s="48"/>
      <c r="T17" s="49"/>
      <c r="U17" s="50"/>
    </row>
    <row r="18" spans="1:37" x14ac:dyDescent="0.2">
      <c r="S18" s="48"/>
      <c r="T18" s="49"/>
      <c r="U18" s="50"/>
    </row>
    <row r="19" spans="1:37" s="4" customFormat="1" x14ac:dyDescent="0.2">
      <c r="A19" s="51" t="s">
        <v>6</v>
      </c>
      <c r="B19" s="52"/>
      <c r="C19" s="52"/>
      <c r="D19" s="52"/>
      <c r="E19" s="53"/>
      <c r="F19" s="53"/>
      <c r="G19" s="2"/>
      <c r="H19" s="2"/>
      <c r="I19" s="2"/>
      <c r="J19" s="8"/>
      <c r="K19" s="8"/>
      <c r="L19" s="54"/>
      <c r="M19" s="3"/>
      <c r="N19" s="3"/>
      <c r="O19" s="3"/>
      <c r="P19" s="3"/>
      <c r="Q19" s="3"/>
      <c r="S19" s="48"/>
      <c r="T19" s="49"/>
      <c r="U19" s="50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x14ac:dyDescent="0.2">
      <c r="A20" s="55" t="s">
        <v>41</v>
      </c>
      <c r="B20" s="56" t="s">
        <v>37</v>
      </c>
      <c r="C20" s="56" t="s">
        <v>38</v>
      </c>
      <c r="D20" s="56" t="s">
        <v>39</v>
      </c>
      <c r="E20" s="191" t="s">
        <v>71</v>
      </c>
      <c r="F20" s="191"/>
      <c r="G20" s="55"/>
      <c r="H20" s="55" t="s">
        <v>4</v>
      </c>
      <c r="I20" s="55"/>
      <c r="J20" s="55" t="s">
        <v>5</v>
      </c>
      <c r="K20" s="55"/>
      <c r="L20" s="55" t="s">
        <v>52</v>
      </c>
      <c r="M20" s="55" t="s">
        <v>35</v>
      </c>
      <c r="N20" s="55" t="s">
        <v>1</v>
      </c>
      <c r="O20" s="55" t="s">
        <v>61</v>
      </c>
      <c r="P20" s="55" t="s">
        <v>2</v>
      </c>
    </row>
    <row r="21" spans="1:37" x14ac:dyDescent="0.2">
      <c r="A21" s="57">
        <v>1</v>
      </c>
      <c r="B21" s="58">
        <v>3</v>
      </c>
      <c r="C21" s="58">
        <v>1</v>
      </c>
      <c r="D21" s="58">
        <v>2023</v>
      </c>
      <c r="E21" s="59" t="s">
        <v>77</v>
      </c>
      <c r="F21" s="59">
        <v>56108</v>
      </c>
      <c r="G21" s="53" t="s">
        <v>85</v>
      </c>
      <c r="H21" s="60"/>
      <c r="I21" s="53"/>
      <c r="J21" s="61">
        <v>77617950</v>
      </c>
      <c r="K21" s="59">
        <v>7</v>
      </c>
      <c r="L21" s="62">
        <v>21600</v>
      </c>
      <c r="M21" s="62">
        <v>0</v>
      </c>
      <c r="N21" s="62">
        <v>4104</v>
      </c>
      <c r="O21" s="62">
        <v>0</v>
      </c>
      <c r="P21" s="62">
        <f>SUM(L21:O21)</f>
        <v>25704</v>
      </c>
      <c r="R21" s="194"/>
      <c r="S21" s="194"/>
      <c r="T21" s="194"/>
      <c r="U21" s="194"/>
      <c r="V21" s="194"/>
    </row>
    <row r="22" spans="1:37" x14ac:dyDescent="0.2">
      <c r="A22" s="57">
        <v>2</v>
      </c>
      <c r="B22" s="58">
        <v>17</v>
      </c>
      <c r="C22" s="58">
        <v>1</v>
      </c>
      <c r="D22" s="58">
        <v>2023</v>
      </c>
      <c r="E22" s="59" t="s">
        <v>77</v>
      </c>
      <c r="F22" s="59">
        <v>56334</v>
      </c>
      <c r="G22" s="53" t="s">
        <v>85</v>
      </c>
      <c r="H22" s="60"/>
      <c r="I22" s="53"/>
      <c r="J22" s="61">
        <v>77617950</v>
      </c>
      <c r="K22" s="59">
        <v>7</v>
      </c>
      <c r="L22" s="62">
        <v>8320</v>
      </c>
      <c r="M22" s="62">
        <v>0</v>
      </c>
      <c r="N22" s="63">
        <v>1581</v>
      </c>
      <c r="O22" s="62">
        <v>0</v>
      </c>
      <c r="P22" s="62">
        <f>SUM(L22:O22)</f>
        <v>9901</v>
      </c>
      <c r="R22" s="195"/>
      <c r="S22" s="196"/>
      <c r="T22" s="196"/>
      <c r="U22" s="197"/>
      <c r="V22" s="198"/>
    </row>
    <row r="23" spans="1:37" x14ac:dyDescent="0.2">
      <c r="A23" s="57">
        <v>3</v>
      </c>
      <c r="B23" s="58">
        <v>17</v>
      </c>
      <c r="C23" s="58">
        <v>1</v>
      </c>
      <c r="D23" s="58">
        <v>2023</v>
      </c>
      <c r="E23" s="59" t="s">
        <v>77</v>
      </c>
      <c r="F23" s="59">
        <v>56335</v>
      </c>
      <c r="G23" s="53" t="s">
        <v>85</v>
      </c>
      <c r="H23" s="60"/>
      <c r="I23" s="53"/>
      <c r="J23" s="61">
        <v>77617950</v>
      </c>
      <c r="K23" s="59">
        <v>7</v>
      </c>
      <c r="L23" s="62">
        <v>151200</v>
      </c>
      <c r="M23" s="62">
        <v>0</v>
      </c>
      <c r="N23" s="63">
        <v>28728</v>
      </c>
      <c r="O23" s="63">
        <v>0</v>
      </c>
      <c r="P23" s="63">
        <f>SUM(L23:O23)</f>
        <v>179928</v>
      </c>
      <c r="R23" s="199"/>
      <c r="S23" s="196"/>
      <c r="T23" s="196"/>
      <c r="U23" s="199"/>
      <c r="V23" s="196"/>
      <c r="W23" s="152"/>
    </row>
    <row r="24" spans="1:37" x14ac:dyDescent="0.2">
      <c r="A24" s="57">
        <v>4</v>
      </c>
      <c r="B24" s="58">
        <v>27</v>
      </c>
      <c r="C24" s="58">
        <v>1</v>
      </c>
      <c r="D24" s="58">
        <v>2023</v>
      </c>
      <c r="E24" s="59" t="s">
        <v>77</v>
      </c>
      <c r="F24" s="64">
        <v>56427</v>
      </c>
      <c r="G24" s="53" t="s">
        <v>85</v>
      </c>
      <c r="H24" s="60"/>
      <c r="I24" s="53"/>
      <c r="J24" s="61">
        <v>77617950</v>
      </c>
      <c r="K24" s="59">
        <v>7</v>
      </c>
      <c r="L24" s="62">
        <v>24960</v>
      </c>
      <c r="M24" s="62">
        <v>0</v>
      </c>
      <c r="N24" s="63">
        <v>4742</v>
      </c>
      <c r="O24" s="63">
        <v>0</v>
      </c>
      <c r="P24" s="63">
        <f>SUM(L24:O24)</f>
        <v>29702</v>
      </c>
      <c r="R24" s="199"/>
      <c r="S24" s="196"/>
      <c r="T24" s="196"/>
      <c r="U24" s="199"/>
      <c r="V24" s="196"/>
      <c r="W24" s="18"/>
    </row>
    <row r="25" spans="1:37" x14ac:dyDescent="0.2">
      <c r="A25" s="1" t="s">
        <v>49</v>
      </c>
      <c r="B25" s="17"/>
      <c r="C25" s="17"/>
      <c r="D25" s="17"/>
      <c r="E25" s="65"/>
      <c r="F25" s="19"/>
      <c r="G25" s="20"/>
      <c r="H25" s="20"/>
      <c r="I25" s="20"/>
      <c r="J25" s="18"/>
      <c r="K25" s="18"/>
      <c r="L25" s="21">
        <f>SUM(L21:L24)</f>
        <v>206080</v>
      </c>
      <c r="M25" s="21">
        <f t="shared" ref="M25:P25" si="7">SUM(M21:M24)</f>
        <v>0</v>
      </c>
      <c r="N25" s="21">
        <f t="shared" si="7"/>
        <v>39155</v>
      </c>
      <c r="O25" s="21">
        <f t="shared" si="7"/>
        <v>0</v>
      </c>
      <c r="P25" s="21">
        <f t="shared" si="7"/>
        <v>245235</v>
      </c>
      <c r="R25" s="200"/>
      <c r="S25" s="197"/>
      <c r="T25" s="196"/>
      <c r="U25" s="201"/>
      <c r="V25" s="202"/>
      <c r="W25" s="153"/>
    </row>
    <row r="26" spans="1:37" x14ac:dyDescent="0.2">
      <c r="A26" s="66">
        <v>1</v>
      </c>
      <c r="B26" s="66"/>
      <c r="C26" s="66">
        <v>1</v>
      </c>
      <c r="D26" s="66">
        <v>2023</v>
      </c>
      <c r="E26" s="67" t="s">
        <v>78</v>
      </c>
      <c r="F26" s="68"/>
      <c r="G26" s="69"/>
      <c r="H26" s="70"/>
      <c r="I26" s="69"/>
      <c r="J26" s="71"/>
      <c r="K26" s="72"/>
      <c r="L26" s="73"/>
      <c r="M26" s="74">
        <v>0</v>
      </c>
      <c r="N26" s="74">
        <f t="shared" ref="N26:N27" si="8">ROUND((L26*19%),0)</f>
        <v>0</v>
      </c>
      <c r="O26" s="74">
        <v>0</v>
      </c>
      <c r="P26" s="74">
        <f>SUM(L26:O26)</f>
        <v>0</v>
      </c>
      <c r="R26" s="200"/>
      <c r="S26" s="195"/>
      <c r="T26" s="196"/>
      <c r="U26" s="199"/>
      <c r="V26" s="202"/>
      <c r="W26" s="153"/>
    </row>
    <row r="27" spans="1:37" x14ac:dyDescent="0.2">
      <c r="A27" s="66">
        <v>2</v>
      </c>
      <c r="B27" s="66"/>
      <c r="C27" s="66">
        <v>1</v>
      </c>
      <c r="D27" s="66">
        <v>2023</v>
      </c>
      <c r="E27" s="67" t="s">
        <v>78</v>
      </c>
      <c r="F27" s="68"/>
      <c r="G27" s="69"/>
      <c r="H27" s="70"/>
      <c r="I27" s="69"/>
      <c r="J27" s="71"/>
      <c r="K27" s="72"/>
      <c r="L27" s="74"/>
      <c r="M27" s="74">
        <v>0</v>
      </c>
      <c r="N27" s="74">
        <f t="shared" si="8"/>
        <v>0</v>
      </c>
      <c r="O27" s="74">
        <v>0</v>
      </c>
      <c r="P27" s="74">
        <f>SUM(L27:O27)</f>
        <v>0</v>
      </c>
      <c r="R27" s="200"/>
      <c r="S27" s="196"/>
      <c r="T27" s="196"/>
      <c r="U27" s="199"/>
      <c r="V27" s="202"/>
      <c r="W27" s="153"/>
    </row>
    <row r="28" spans="1:37" x14ac:dyDescent="0.2">
      <c r="A28" s="26" t="s">
        <v>48</v>
      </c>
      <c r="B28" s="27"/>
      <c r="C28" s="27"/>
      <c r="D28" s="27"/>
      <c r="E28" s="75"/>
      <c r="F28" s="29"/>
      <c r="G28" s="30"/>
      <c r="H28" s="30"/>
      <c r="I28" s="30"/>
      <c r="J28" s="28"/>
      <c r="K28" s="28"/>
      <c r="L28" s="31">
        <f>SUM(L26:L27)</f>
        <v>0</v>
      </c>
      <c r="M28" s="31">
        <f>SUM(M26:M27)</f>
        <v>0</v>
      </c>
      <c r="N28" s="31">
        <f>SUM(N26:N27)</f>
        <v>0</v>
      </c>
      <c r="O28" s="31">
        <f>SUM(O26:O27)</f>
        <v>0</v>
      </c>
      <c r="P28" s="31">
        <f>SUM(P26:P27)</f>
        <v>0</v>
      </c>
      <c r="R28" s="200"/>
      <c r="S28" s="196"/>
      <c r="T28" s="196"/>
      <c r="U28" s="199"/>
      <c r="V28" s="202"/>
      <c r="W28" s="153"/>
    </row>
    <row r="29" spans="1:37" x14ac:dyDescent="0.2">
      <c r="A29" s="76" t="s">
        <v>17</v>
      </c>
      <c r="B29" s="56"/>
      <c r="C29" s="56"/>
      <c r="D29" s="56"/>
      <c r="E29" s="56"/>
      <c r="F29" s="77"/>
      <c r="G29" s="77"/>
      <c r="H29" s="77"/>
      <c r="I29" s="77"/>
      <c r="J29" s="78"/>
      <c r="K29" s="78"/>
      <c r="L29" s="79">
        <f>+L25+L28</f>
        <v>206080</v>
      </c>
      <c r="M29" s="79">
        <f>+M25-M28</f>
        <v>0</v>
      </c>
      <c r="N29" s="79">
        <f>N25+N28</f>
        <v>39155</v>
      </c>
      <c r="O29" s="79">
        <f>+O25-O28</f>
        <v>0</v>
      </c>
      <c r="P29" s="79">
        <f>+P25+P28</f>
        <v>245235</v>
      </c>
      <c r="R29" s="200"/>
      <c r="S29" s="195"/>
      <c r="T29" s="196"/>
      <c r="U29" s="199"/>
      <c r="V29" s="202"/>
      <c r="W29" s="153"/>
    </row>
    <row r="30" spans="1:37" x14ac:dyDescent="0.2">
      <c r="R30" s="200"/>
      <c r="S30" s="200"/>
      <c r="T30" s="200"/>
      <c r="U30" s="199"/>
      <c r="V30" s="202"/>
      <c r="W30" s="154"/>
    </row>
    <row r="31" spans="1:37" x14ac:dyDescent="0.2">
      <c r="A31" s="125" t="s">
        <v>7</v>
      </c>
      <c r="B31" s="126"/>
      <c r="C31" s="126"/>
      <c r="D31" s="126"/>
      <c r="E31" s="126"/>
      <c r="F31" s="127"/>
      <c r="J31" s="8"/>
      <c r="K31" s="8"/>
      <c r="L31" s="3"/>
      <c r="M31" s="3"/>
      <c r="N31" s="3"/>
      <c r="O31" s="3"/>
      <c r="P31" s="3"/>
      <c r="Q31" s="3"/>
      <c r="R31" s="196"/>
      <c r="S31" s="196"/>
      <c r="T31" s="196"/>
      <c r="U31" s="195"/>
      <c r="V31" s="203"/>
      <c r="W31" s="155"/>
    </row>
    <row r="32" spans="1:37" x14ac:dyDescent="0.2">
      <c r="A32" s="128" t="s">
        <v>41</v>
      </c>
      <c r="B32" s="129" t="s">
        <v>70</v>
      </c>
      <c r="C32" s="129" t="s">
        <v>38</v>
      </c>
      <c r="D32" s="129" t="s">
        <v>39</v>
      </c>
      <c r="E32" s="192" t="s">
        <v>43</v>
      </c>
      <c r="F32" s="192"/>
      <c r="G32" s="128"/>
      <c r="H32" s="128" t="s">
        <v>8</v>
      </c>
      <c r="I32" s="128"/>
      <c r="J32" s="128" t="s">
        <v>5</v>
      </c>
      <c r="K32" s="128"/>
      <c r="L32" s="128" t="s">
        <v>9</v>
      </c>
      <c r="M32" s="128" t="s">
        <v>97</v>
      </c>
      <c r="N32" s="128" t="s">
        <v>10</v>
      </c>
      <c r="R32" s="196"/>
      <c r="S32" s="196"/>
      <c r="T32" s="196"/>
      <c r="U32" s="195"/>
      <c r="V32" s="203"/>
      <c r="W32" s="156"/>
    </row>
    <row r="33" spans="1:28" x14ac:dyDescent="0.2">
      <c r="A33" s="130">
        <v>1</v>
      </c>
      <c r="B33" s="131"/>
      <c r="C33" s="131">
        <v>1</v>
      </c>
      <c r="D33" s="131">
        <v>2023</v>
      </c>
      <c r="E33" s="132" t="s">
        <v>80</v>
      </c>
      <c r="F33" s="133"/>
      <c r="G33" s="137"/>
      <c r="H33" s="138"/>
      <c r="I33" s="138"/>
      <c r="J33" s="139"/>
      <c r="K33" s="132"/>
      <c r="L33" s="140"/>
      <c r="M33" s="141">
        <f>+L33*0.13</f>
        <v>0</v>
      </c>
      <c r="N33" s="141">
        <f>+L33-M33</f>
        <v>0</v>
      </c>
      <c r="R33" s="196"/>
      <c r="S33" s="195"/>
      <c r="T33" s="196"/>
      <c r="U33" s="195"/>
      <c r="V33" s="203"/>
      <c r="W33" s="155"/>
    </row>
    <row r="34" spans="1:28" x14ac:dyDescent="0.2">
      <c r="A34" s="130">
        <v>2</v>
      </c>
      <c r="B34" s="131"/>
      <c r="C34" s="131">
        <v>1</v>
      </c>
      <c r="D34" s="131">
        <v>2023</v>
      </c>
      <c r="E34" s="132" t="s">
        <v>80</v>
      </c>
      <c r="F34" s="133"/>
      <c r="G34" s="137"/>
      <c r="H34" s="138"/>
      <c r="I34" s="138"/>
      <c r="J34" s="139"/>
      <c r="K34" s="132"/>
      <c r="L34" s="140"/>
      <c r="M34" s="141">
        <f>+L34*0.13</f>
        <v>0</v>
      </c>
      <c r="N34" s="141">
        <f t="shared" ref="N34" si="9">+L34-M34</f>
        <v>0</v>
      </c>
      <c r="R34" s="200"/>
      <c r="S34" s="195"/>
      <c r="T34" s="196"/>
      <c r="U34" s="199"/>
      <c r="V34" s="202"/>
      <c r="W34" s="154"/>
    </row>
    <row r="35" spans="1:28" x14ac:dyDescent="0.2">
      <c r="A35" s="134" t="s">
        <v>18</v>
      </c>
      <c r="B35" s="135"/>
      <c r="C35" s="135"/>
      <c r="D35" s="135"/>
      <c r="E35" s="129"/>
      <c r="F35" s="136"/>
      <c r="G35" s="136"/>
      <c r="H35" s="136"/>
      <c r="I35" s="136"/>
      <c r="J35" s="142"/>
      <c r="K35" s="142"/>
      <c r="L35" s="143">
        <f>SUM(L33:L34)</f>
        <v>0</v>
      </c>
      <c r="M35" s="143">
        <f>SUM(M33:M34)</f>
        <v>0</v>
      </c>
      <c r="N35" s="143">
        <f>SUM(N33:N34)</f>
        <v>0</v>
      </c>
      <c r="R35" s="196"/>
      <c r="S35" s="196"/>
      <c r="T35" s="196"/>
      <c r="U35" s="195"/>
      <c r="V35" s="203"/>
      <c r="W35" s="155"/>
    </row>
    <row r="37" spans="1:28" x14ac:dyDescent="0.2">
      <c r="A37" s="193" t="s">
        <v>91</v>
      </c>
      <c r="B37" s="193"/>
      <c r="C37" s="193"/>
      <c r="D37" s="193"/>
      <c r="E37" s="193"/>
      <c r="F37" s="193"/>
      <c r="G37" s="183" t="s">
        <v>55</v>
      </c>
      <c r="H37" s="183"/>
      <c r="I37" s="183"/>
      <c r="J37" s="183"/>
      <c r="K37" s="183"/>
      <c r="L37" s="184" t="s">
        <v>83</v>
      </c>
      <c r="M37" s="184"/>
      <c r="N37" s="184"/>
      <c r="O37" s="184"/>
      <c r="P37" s="184"/>
      <c r="Q37" s="185" t="s">
        <v>75</v>
      </c>
      <c r="R37" s="185"/>
      <c r="S37" s="186" t="s">
        <v>73</v>
      </c>
      <c r="T37" s="186"/>
      <c r="U37" s="186"/>
      <c r="V37" s="187" t="s">
        <v>12</v>
      </c>
      <c r="W37" s="187"/>
      <c r="X37" s="188" t="s">
        <v>69</v>
      </c>
      <c r="Y37" s="188"/>
      <c r="Z37" s="188"/>
      <c r="AA37" s="188"/>
      <c r="AB37" s="188"/>
    </row>
    <row r="38" spans="1:28" x14ac:dyDescent="0.2">
      <c r="A38" s="83" t="s">
        <v>11</v>
      </c>
      <c r="B38" s="84" t="s">
        <v>47</v>
      </c>
      <c r="C38" s="80"/>
      <c r="D38" s="80"/>
      <c r="E38" s="80"/>
      <c r="F38" s="81">
        <f>+L17</f>
        <v>362422</v>
      </c>
      <c r="G38" s="82" t="s">
        <v>53</v>
      </c>
      <c r="H38" s="85" t="s">
        <v>52</v>
      </c>
      <c r="I38" s="85" t="s">
        <v>1</v>
      </c>
      <c r="J38" s="85" t="s">
        <v>2</v>
      </c>
      <c r="K38" s="86"/>
      <c r="L38" s="88" t="s">
        <v>52</v>
      </c>
      <c r="M38" s="89" t="s">
        <v>35</v>
      </c>
      <c r="N38" s="88" t="s">
        <v>1</v>
      </c>
      <c r="O38" s="89" t="s">
        <v>67</v>
      </c>
      <c r="P38" s="89" t="s">
        <v>2</v>
      </c>
      <c r="Q38" s="157" t="s">
        <v>76</v>
      </c>
      <c r="R38" s="157" t="s">
        <v>60</v>
      </c>
      <c r="S38" s="90" t="s">
        <v>9</v>
      </c>
      <c r="T38" s="91" t="s">
        <v>74</v>
      </c>
      <c r="U38" s="92" t="s">
        <v>10</v>
      </c>
      <c r="V38" s="87" t="s">
        <v>56</v>
      </c>
      <c r="W38" s="87" t="s">
        <v>57</v>
      </c>
      <c r="X38" s="122" t="s">
        <v>58</v>
      </c>
      <c r="Y38" s="122" t="s">
        <v>68</v>
      </c>
      <c r="Z38" s="122" t="s">
        <v>62</v>
      </c>
      <c r="AA38" s="122" t="s">
        <v>72</v>
      </c>
      <c r="AB38" s="122" t="s">
        <v>59</v>
      </c>
    </row>
    <row r="39" spans="1:28" x14ac:dyDescent="0.2">
      <c r="A39" s="83" t="s">
        <v>11</v>
      </c>
      <c r="B39" s="84" t="s">
        <v>13</v>
      </c>
      <c r="C39" s="84"/>
      <c r="D39" s="84"/>
      <c r="E39" s="84"/>
      <c r="F39" s="81">
        <f>+M10</f>
        <v>68860</v>
      </c>
      <c r="G39" s="86" t="s">
        <v>22</v>
      </c>
      <c r="H39" s="93">
        <v>362422</v>
      </c>
      <c r="I39" s="93">
        <f t="shared" ref="I39:I50" si="10">ROUND((H39*0.19),0)</f>
        <v>68860</v>
      </c>
      <c r="J39" s="93">
        <f>SUM(H39:I39)</f>
        <v>431282</v>
      </c>
      <c r="K39" s="86"/>
      <c r="L39" s="96">
        <v>206080</v>
      </c>
      <c r="M39" s="96">
        <v>0</v>
      </c>
      <c r="N39" s="96">
        <v>39155</v>
      </c>
      <c r="O39" s="97">
        <v>0</v>
      </c>
      <c r="P39" s="97">
        <f>SUM(L39:O39)</f>
        <v>245235</v>
      </c>
      <c r="Q39" s="158">
        <v>0</v>
      </c>
      <c r="R39" s="158">
        <v>0</v>
      </c>
      <c r="S39" s="98">
        <v>0</v>
      </c>
      <c r="T39" s="98">
        <f>+S39*0.13</f>
        <v>0</v>
      </c>
      <c r="U39" s="98">
        <f t="shared" ref="U39:U50" si="11">+S39-T39</f>
        <v>0</v>
      </c>
      <c r="V39" s="94">
        <v>0.1</v>
      </c>
      <c r="W39" s="95">
        <f t="shared" ref="W39:W50" si="12">ROUND((H39*V39),2)</f>
        <v>36242.199999999997</v>
      </c>
      <c r="X39" s="123">
        <v>0</v>
      </c>
      <c r="Y39" s="123">
        <v>0</v>
      </c>
      <c r="Z39" s="123">
        <v>48000</v>
      </c>
      <c r="AA39" s="123">
        <v>0</v>
      </c>
      <c r="AB39" s="123">
        <v>30084</v>
      </c>
    </row>
    <row r="40" spans="1:28" x14ac:dyDescent="0.2">
      <c r="A40" s="83" t="s">
        <v>11</v>
      </c>
      <c r="B40" s="99" t="s">
        <v>45</v>
      </c>
      <c r="C40" s="84"/>
      <c r="D40" s="84"/>
      <c r="E40" s="84"/>
      <c r="F40" s="100">
        <f>+M13</f>
        <v>0</v>
      </c>
      <c r="G40" s="86" t="s">
        <v>23</v>
      </c>
      <c r="H40" s="93">
        <v>0</v>
      </c>
      <c r="I40" s="93">
        <f t="shared" si="10"/>
        <v>0</v>
      </c>
      <c r="J40" s="93">
        <f t="shared" ref="J40:J50" si="13">SUM(H40:I40)</f>
        <v>0</v>
      </c>
      <c r="K40" s="86"/>
      <c r="L40" s="96">
        <v>0</v>
      </c>
      <c r="M40" s="96">
        <v>0</v>
      </c>
      <c r="N40" s="96">
        <v>0</v>
      </c>
      <c r="O40" s="97">
        <v>0</v>
      </c>
      <c r="P40" s="97">
        <f t="shared" ref="P40:P50" si="14">SUM(L40:O40)</f>
        <v>0</v>
      </c>
      <c r="Q40" s="158">
        <v>0</v>
      </c>
      <c r="R40" s="158">
        <v>0</v>
      </c>
      <c r="S40" s="98">
        <v>0</v>
      </c>
      <c r="T40" s="98">
        <f t="shared" ref="T40:T50" si="15">+S40*0.13</f>
        <v>0</v>
      </c>
      <c r="U40" s="98">
        <f t="shared" si="11"/>
        <v>0</v>
      </c>
      <c r="V40" s="94"/>
      <c r="W40" s="95">
        <f t="shared" si="12"/>
        <v>0</v>
      </c>
      <c r="X40" s="123">
        <v>0</v>
      </c>
      <c r="Y40" s="123">
        <v>0</v>
      </c>
      <c r="Z40" s="123">
        <v>0</v>
      </c>
      <c r="AA40" s="123">
        <v>0</v>
      </c>
      <c r="AB40" s="123">
        <v>0</v>
      </c>
    </row>
    <row r="41" spans="1:28" s="4" customFormat="1" x14ac:dyDescent="0.2">
      <c r="A41" s="83" t="s">
        <v>11</v>
      </c>
      <c r="B41" s="101" t="s">
        <v>64</v>
      </c>
      <c r="C41" s="101"/>
      <c r="D41" s="84"/>
      <c r="E41" s="84"/>
      <c r="F41" s="102">
        <v>0</v>
      </c>
      <c r="G41" s="86" t="s">
        <v>24</v>
      </c>
      <c r="H41" s="93">
        <v>0</v>
      </c>
      <c r="I41" s="93">
        <f t="shared" si="10"/>
        <v>0</v>
      </c>
      <c r="J41" s="93">
        <f t="shared" si="13"/>
        <v>0</v>
      </c>
      <c r="K41" s="86"/>
      <c r="L41" s="96">
        <v>0</v>
      </c>
      <c r="M41" s="96">
        <v>0</v>
      </c>
      <c r="N41" s="96">
        <v>0</v>
      </c>
      <c r="O41" s="97">
        <v>0</v>
      </c>
      <c r="P41" s="97">
        <f t="shared" si="14"/>
        <v>0</v>
      </c>
      <c r="Q41" s="158">
        <v>0</v>
      </c>
      <c r="R41" s="158">
        <v>0</v>
      </c>
      <c r="S41" s="98">
        <v>0</v>
      </c>
      <c r="T41" s="98">
        <f t="shared" si="15"/>
        <v>0</v>
      </c>
      <c r="U41" s="98">
        <f t="shared" si="11"/>
        <v>0</v>
      </c>
      <c r="V41" s="94"/>
      <c r="W41" s="95">
        <f t="shared" si="12"/>
        <v>0</v>
      </c>
      <c r="X41" s="123">
        <v>0</v>
      </c>
      <c r="Y41" s="123">
        <v>0</v>
      </c>
      <c r="Z41" s="123">
        <v>0</v>
      </c>
      <c r="AA41" s="123">
        <v>0</v>
      </c>
      <c r="AB41" s="123">
        <v>0</v>
      </c>
    </row>
    <row r="42" spans="1:28" s="4" customFormat="1" x14ac:dyDescent="0.2">
      <c r="A42" s="83" t="s">
        <v>11</v>
      </c>
      <c r="B42" s="84" t="s">
        <v>63</v>
      </c>
      <c r="C42" s="84"/>
      <c r="D42" s="84"/>
      <c r="E42" s="84"/>
      <c r="F42" s="103">
        <f>SUM(F39:F40)</f>
        <v>68860</v>
      </c>
      <c r="G42" s="86" t="s">
        <v>25</v>
      </c>
      <c r="H42" s="93">
        <v>0</v>
      </c>
      <c r="I42" s="93">
        <f t="shared" si="10"/>
        <v>0</v>
      </c>
      <c r="J42" s="93">
        <f t="shared" si="13"/>
        <v>0</v>
      </c>
      <c r="K42" s="93"/>
      <c r="L42" s="96">
        <v>0</v>
      </c>
      <c r="M42" s="96">
        <v>0</v>
      </c>
      <c r="N42" s="96">
        <v>0</v>
      </c>
      <c r="O42" s="97">
        <v>0</v>
      </c>
      <c r="P42" s="97">
        <f t="shared" si="14"/>
        <v>0</v>
      </c>
      <c r="Q42" s="158">
        <v>0</v>
      </c>
      <c r="R42" s="158">
        <v>0</v>
      </c>
      <c r="S42" s="98">
        <v>0</v>
      </c>
      <c r="T42" s="98">
        <f t="shared" si="15"/>
        <v>0</v>
      </c>
      <c r="U42" s="98">
        <f t="shared" si="11"/>
        <v>0</v>
      </c>
      <c r="V42" s="94"/>
      <c r="W42" s="95">
        <f t="shared" si="12"/>
        <v>0</v>
      </c>
      <c r="X42" s="123">
        <v>0</v>
      </c>
      <c r="Y42" s="123">
        <v>0</v>
      </c>
      <c r="Z42" s="123">
        <v>0</v>
      </c>
      <c r="AA42" s="123">
        <v>0</v>
      </c>
      <c r="AB42" s="123">
        <v>0</v>
      </c>
    </row>
    <row r="43" spans="1:28" s="4" customFormat="1" x14ac:dyDescent="0.2">
      <c r="A43" s="83" t="s">
        <v>11</v>
      </c>
      <c r="B43" s="99" t="s">
        <v>14</v>
      </c>
      <c r="C43" s="84"/>
      <c r="D43" s="84"/>
      <c r="E43" s="84"/>
      <c r="F43" s="100">
        <f>-N25</f>
        <v>-39155</v>
      </c>
      <c r="G43" s="86" t="s">
        <v>26</v>
      </c>
      <c r="H43" s="93">
        <v>0</v>
      </c>
      <c r="I43" s="93">
        <f t="shared" si="10"/>
        <v>0</v>
      </c>
      <c r="J43" s="93">
        <f t="shared" si="13"/>
        <v>0</v>
      </c>
      <c r="K43" s="93"/>
      <c r="L43" s="96">
        <v>0</v>
      </c>
      <c r="M43" s="96">
        <v>0</v>
      </c>
      <c r="N43" s="96">
        <v>0</v>
      </c>
      <c r="O43" s="97">
        <v>0</v>
      </c>
      <c r="P43" s="97">
        <f t="shared" si="14"/>
        <v>0</v>
      </c>
      <c r="Q43" s="158">
        <v>0</v>
      </c>
      <c r="R43" s="158">
        <v>0</v>
      </c>
      <c r="S43" s="98">
        <v>0</v>
      </c>
      <c r="T43" s="98">
        <f t="shared" si="15"/>
        <v>0</v>
      </c>
      <c r="U43" s="98">
        <f t="shared" si="11"/>
        <v>0</v>
      </c>
      <c r="V43" s="94"/>
      <c r="W43" s="95">
        <f t="shared" si="12"/>
        <v>0</v>
      </c>
      <c r="X43" s="123">
        <v>0</v>
      </c>
      <c r="Y43" s="123">
        <v>0</v>
      </c>
      <c r="Z43" s="123">
        <v>0</v>
      </c>
      <c r="AA43" s="123">
        <v>0</v>
      </c>
      <c r="AB43" s="123">
        <v>0</v>
      </c>
    </row>
    <row r="44" spans="1:28" s="4" customFormat="1" x14ac:dyDescent="0.2">
      <c r="A44" s="83" t="s">
        <v>11</v>
      </c>
      <c r="B44" s="101" t="s">
        <v>46</v>
      </c>
      <c r="C44" s="101"/>
      <c r="D44" s="101"/>
      <c r="E44" s="101"/>
      <c r="F44" s="108">
        <f>-N28</f>
        <v>0</v>
      </c>
      <c r="G44" s="86" t="s">
        <v>27</v>
      </c>
      <c r="H44" s="93">
        <v>0</v>
      </c>
      <c r="I44" s="93">
        <f t="shared" si="10"/>
        <v>0</v>
      </c>
      <c r="J44" s="93">
        <f t="shared" si="13"/>
        <v>0</v>
      </c>
      <c r="K44" s="93"/>
      <c r="L44" s="96">
        <v>0</v>
      </c>
      <c r="M44" s="96">
        <v>0</v>
      </c>
      <c r="N44" s="96">
        <v>0</v>
      </c>
      <c r="O44" s="97">
        <v>0</v>
      </c>
      <c r="P44" s="97">
        <f t="shared" si="14"/>
        <v>0</v>
      </c>
      <c r="Q44" s="158">
        <v>0</v>
      </c>
      <c r="R44" s="158">
        <v>0</v>
      </c>
      <c r="S44" s="98">
        <v>0</v>
      </c>
      <c r="T44" s="98">
        <f t="shared" si="15"/>
        <v>0</v>
      </c>
      <c r="U44" s="98">
        <f t="shared" si="11"/>
        <v>0</v>
      </c>
      <c r="V44" s="94"/>
      <c r="W44" s="95">
        <f t="shared" si="12"/>
        <v>0</v>
      </c>
      <c r="X44" s="123">
        <v>0</v>
      </c>
      <c r="Y44" s="123">
        <v>0</v>
      </c>
      <c r="Z44" s="123">
        <v>0</v>
      </c>
      <c r="AA44" s="123">
        <v>0</v>
      </c>
      <c r="AB44" s="123">
        <v>0</v>
      </c>
    </row>
    <row r="45" spans="1:28" s="4" customFormat="1" x14ac:dyDescent="0.2">
      <c r="A45" s="83" t="s">
        <v>11</v>
      </c>
      <c r="B45" s="84" t="s">
        <v>15</v>
      </c>
      <c r="C45" s="84"/>
      <c r="D45" s="84"/>
      <c r="E45" s="84"/>
      <c r="F45" s="81">
        <f>SUM(F42:F44)</f>
        <v>29705</v>
      </c>
      <c r="G45" s="86" t="s">
        <v>28</v>
      </c>
      <c r="H45" s="93">
        <v>0</v>
      </c>
      <c r="I45" s="93">
        <f t="shared" si="10"/>
        <v>0</v>
      </c>
      <c r="J45" s="93">
        <f t="shared" si="13"/>
        <v>0</v>
      </c>
      <c r="K45" s="93"/>
      <c r="L45" s="96">
        <v>0</v>
      </c>
      <c r="M45" s="96">
        <v>0</v>
      </c>
      <c r="N45" s="96">
        <v>0</v>
      </c>
      <c r="O45" s="97">
        <v>0</v>
      </c>
      <c r="P45" s="97">
        <f t="shared" si="14"/>
        <v>0</v>
      </c>
      <c r="Q45" s="158">
        <v>0</v>
      </c>
      <c r="R45" s="158">
        <v>0</v>
      </c>
      <c r="S45" s="98">
        <v>0</v>
      </c>
      <c r="T45" s="98">
        <f t="shared" si="15"/>
        <v>0</v>
      </c>
      <c r="U45" s="98">
        <f t="shared" si="11"/>
        <v>0</v>
      </c>
      <c r="V45" s="94"/>
      <c r="W45" s="95">
        <f t="shared" si="12"/>
        <v>0</v>
      </c>
      <c r="X45" s="123">
        <v>0</v>
      </c>
      <c r="Y45" s="123">
        <v>0</v>
      </c>
      <c r="Z45" s="123">
        <v>0</v>
      </c>
      <c r="AA45" s="123">
        <v>0</v>
      </c>
      <c r="AB45" s="123">
        <v>0</v>
      </c>
    </row>
    <row r="46" spans="1:28" s="4" customFormat="1" x14ac:dyDescent="0.2">
      <c r="A46" s="83" t="s">
        <v>11</v>
      </c>
      <c r="B46" s="84" t="s">
        <v>34</v>
      </c>
      <c r="C46" s="84"/>
      <c r="D46" s="84"/>
      <c r="E46" s="84"/>
      <c r="F46" s="81">
        <f>+M35</f>
        <v>0</v>
      </c>
      <c r="G46" s="86" t="s">
        <v>29</v>
      </c>
      <c r="H46" s="93">
        <v>0</v>
      </c>
      <c r="I46" s="93">
        <f t="shared" si="10"/>
        <v>0</v>
      </c>
      <c r="J46" s="93">
        <f t="shared" si="13"/>
        <v>0</v>
      </c>
      <c r="K46" s="93"/>
      <c r="L46" s="96">
        <v>0</v>
      </c>
      <c r="M46" s="96">
        <v>0</v>
      </c>
      <c r="N46" s="96">
        <v>0</v>
      </c>
      <c r="O46" s="97">
        <v>0</v>
      </c>
      <c r="P46" s="97">
        <f t="shared" si="14"/>
        <v>0</v>
      </c>
      <c r="Q46" s="158">
        <v>0</v>
      </c>
      <c r="R46" s="158">
        <v>0</v>
      </c>
      <c r="S46" s="98">
        <v>0</v>
      </c>
      <c r="T46" s="98">
        <f t="shared" si="15"/>
        <v>0</v>
      </c>
      <c r="U46" s="98">
        <f t="shared" si="11"/>
        <v>0</v>
      </c>
      <c r="V46" s="94"/>
      <c r="W46" s="95">
        <f t="shared" si="12"/>
        <v>0</v>
      </c>
      <c r="X46" s="123">
        <v>0</v>
      </c>
      <c r="Y46" s="123">
        <v>0</v>
      </c>
      <c r="Z46" s="123">
        <v>0</v>
      </c>
      <c r="AA46" s="123">
        <v>0</v>
      </c>
      <c r="AB46" s="123">
        <v>0</v>
      </c>
    </row>
    <row r="47" spans="1:28" s="4" customFormat="1" x14ac:dyDescent="0.2">
      <c r="A47" s="83" t="s">
        <v>11</v>
      </c>
      <c r="B47" s="84" t="s">
        <v>12</v>
      </c>
      <c r="C47" s="84"/>
      <c r="D47" s="104">
        <v>0.1</v>
      </c>
      <c r="E47" s="84"/>
      <c r="F47" s="81">
        <f>ROUND((L17*D47),0)</f>
        <v>36242</v>
      </c>
      <c r="G47" s="86" t="s">
        <v>30</v>
      </c>
      <c r="H47" s="93">
        <v>0</v>
      </c>
      <c r="I47" s="93">
        <f t="shared" si="10"/>
        <v>0</v>
      </c>
      <c r="J47" s="93">
        <f t="shared" si="13"/>
        <v>0</v>
      </c>
      <c r="K47" s="93"/>
      <c r="L47" s="96">
        <v>0</v>
      </c>
      <c r="M47" s="96">
        <v>0</v>
      </c>
      <c r="N47" s="96">
        <v>0</v>
      </c>
      <c r="O47" s="97">
        <v>0</v>
      </c>
      <c r="P47" s="97">
        <f t="shared" si="14"/>
        <v>0</v>
      </c>
      <c r="Q47" s="158">
        <v>0</v>
      </c>
      <c r="R47" s="158">
        <v>0</v>
      </c>
      <c r="S47" s="98">
        <v>0</v>
      </c>
      <c r="T47" s="98">
        <f t="shared" si="15"/>
        <v>0</v>
      </c>
      <c r="U47" s="98">
        <f t="shared" si="11"/>
        <v>0</v>
      </c>
      <c r="V47" s="94"/>
      <c r="W47" s="95">
        <f t="shared" si="12"/>
        <v>0</v>
      </c>
      <c r="X47" s="123">
        <v>0</v>
      </c>
      <c r="Y47" s="123">
        <v>0</v>
      </c>
      <c r="Z47" s="123">
        <v>0</v>
      </c>
      <c r="AA47" s="123">
        <v>0</v>
      </c>
      <c r="AB47" s="123">
        <v>0</v>
      </c>
    </row>
    <row r="48" spans="1:28" s="4" customFormat="1" x14ac:dyDescent="0.2">
      <c r="A48" s="83" t="s">
        <v>11</v>
      </c>
      <c r="B48" s="105" t="s">
        <v>66</v>
      </c>
      <c r="C48" s="106"/>
      <c r="D48" s="106"/>
      <c r="E48" s="84"/>
      <c r="F48" s="107">
        <v>-2478</v>
      </c>
      <c r="G48" s="86" t="s">
        <v>31</v>
      </c>
      <c r="H48" s="93">
        <v>0</v>
      </c>
      <c r="I48" s="93">
        <f t="shared" si="10"/>
        <v>0</v>
      </c>
      <c r="J48" s="93">
        <f t="shared" si="13"/>
        <v>0</v>
      </c>
      <c r="K48" s="93"/>
      <c r="L48" s="96">
        <v>0</v>
      </c>
      <c r="M48" s="96">
        <v>0</v>
      </c>
      <c r="N48" s="96">
        <v>0</v>
      </c>
      <c r="O48" s="97">
        <v>0</v>
      </c>
      <c r="P48" s="97">
        <f t="shared" si="14"/>
        <v>0</v>
      </c>
      <c r="Q48" s="158">
        <v>0</v>
      </c>
      <c r="R48" s="158">
        <v>0</v>
      </c>
      <c r="S48" s="98">
        <v>0</v>
      </c>
      <c r="T48" s="98">
        <f t="shared" si="15"/>
        <v>0</v>
      </c>
      <c r="U48" s="98">
        <f t="shared" si="11"/>
        <v>0</v>
      </c>
      <c r="V48" s="94"/>
      <c r="W48" s="95">
        <f t="shared" si="12"/>
        <v>0</v>
      </c>
      <c r="X48" s="123">
        <v>0</v>
      </c>
      <c r="Y48" s="123">
        <v>0</v>
      </c>
      <c r="Z48" s="123">
        <v>0</v>
      </c>
      <c r="AA48" s="123">
        <v>0</v>
      </c>
      <c r="AB48" s="123">
        <v>0</v>
      </c>
    </row>
    <row r="49" spans="1:35" s="4" customFormat="1" x14ac:dyDescent="0.2">
      <c r="A49" s="83" t="s">
        <v>11</v>
      </c>
      <c r="B49" s="106" t="s">
        <v>19</v>
      </c>
      <c r="C49" s="106"/>
      <c r="D49" s="106"/>
      <c r="E49" s="84"/>
      <c r="F49" s="108">
        <f>SUM(F45:F48)</f>
        <v>63469</v>
      </c>
      <c r="G49" s="86" t="s">
        <v>32</v>
      </c>
      <c r="H49" s="93">
        <v>0</v>
      </c>
      <c r="I49" s="93">
        <f t="shared" si="10"/>
        <v>0</v>
      </c>
      <c r="J49" s="93">
        <f t="shared" si="13"/>
        <v>0</v>
      </c>
      <c r="K49" s="93"/>
      <c r="L49" s="96">
        <v>0</v>
      </c>
      <c r="M49" s="96">
        <v>0</v>
      </c>
      <c r="N49" s="96">
        <v>0</v>
      </c>
      <c r="O49" s="97">
        <v>0</v>
      </c>
      <c r="P49" s="97">
        <f t="shared" si="14"/>
        <v>0</v>
      </c>
      <c r="Q49" s="158">
        <v>0</v>
      </c>
      <c r="R49" s="158">
        <v>0</v>
      </c>
      <c r="S49" s="98">
        <v>0</v>
      </c>
      <c r="T49" s="98">
        <f t="shared" si="15"/>
        <v>0</v>
      </c>
      <c r="U49" s="98">
        <f t="shared" si="11"/>
        <v>0</v>
      </c>
      <c r="V49" s="94"/>
      <c r="W49" s="95">
        <f t="shared" si="12"/>
        <v>0</v>
      </c>
      <c r="X49" s="123">
        <v>0</v>
      </c>
      <c r="Y49" s="123">
        <v>0</v>
      </c>
      <c r="Z49" s="123">
        <v>0</v>
      </c>
      <c r="AA49" s="123">
        <v>0</v>
      </c>
      <c r="AB49" s="123">
        <v>0</v>
      </c>
    </row>
    <row r="50" spans="1:35" s="4" customFormat="1" x14ac:dyDescent="0.2">
      <c r="A50" s="109" t="s">
        <v>20</v>
      </c>
      <c r="B50" s="110"/>
      <c r="C50" s="110"/>
      <c r="D50" s="110"/>
      <c r="E50" s="110"/>
      <c r="F50" s="111">
        <f>+F45+F47</f>
        <v>65947</v>
      </c>
      <c r="G50" s="86" t="s">
        <v>33</v>
      </c>
      <c r="H50" s="93">
        <v>0</v>
      </c>
      <c r="I50" s="93">
        <f t="shared" si="10"/>
        <v>0</v>
      </c>
      <c r="J50" s="93">
        <f t="shared" si="13"/>
        <v>0</v>
      </c>
      <c r="K50" s="93"/>
      <c r="L50" s="96">
        <v>0</v>
      </c>
      <c r="M50" s="96">
        <v>0</v>
      </c>
      <c r="N50" s="96">
        <v>0</v>
      </c>
      <c r="O50" s="97">
        <v>0</v>
      </c>
      <c r="P50" s="97">
        <f t="shared" si="14"/>
        <v>0</v>
      </c>
      <c r="Q50" s="158">
        <v>0</v>
      </c>
      <c r="R50" s="158">
        <v>0</v>
      </c>
      <c r="S50" s="98">
        <v>0</v>
      </c>
      <c r="T50" s="98">
        <f t="shared" si="15"/>
        <v>0</v>
      </c>
      <c r="U50" s="98">
        <f t="shared" si="11"/>
        <v>0</v>
      </c>
      <c r="V50" s="94"/>
      <c r="W50" s="95">
        <f t="shared" si="12"/>
        <v>0</v>
      </c>
      <c r="X50" s="123">
        <v>0</v>
      </c>
      <c r="Y50" s="123">
        <v>0</v>
      </c>
      <c r="Z50" s="123">
        <v>0</v>
      </c>
      <c r="AA50" s="123">
        <v>0</v>
      </c>
      <c r="AB50" s="123">
        <v>0</v>
      </c>
    </row>
    <row r="51" spans="1:35" s="4" customFormat="1" x14ac:dyDescent="0.2">
      <c r="A51" s="109" t="s">
        <v>21</v>
      </c>
      <c r="B51" s="110"/>
      <c r="C51" s="110"/>
      <c r="D51" s="110"/>
      <c r="E51" s="110"/>
      <c r="F51" s="112">
        <f>+F50/L17</f>
        <v>0.18196191180447102</v>
      </c>
      <c r="G51" s="113" t="s">
        <v>36</v>
      </c>
      <c r="H51" s="114">
        <f>SUM(H39:H50)</f>
        <v>362422</v>
      </c>
      <c r="I51" s="114">
        <f>SUM(I39:I50)</f>
        <v>68860</v>
      </c>
      <c r="J51" s="114">
        <f>SUM(J39:J50)</f>
        <v>431282</v>
      </c>
      <c r="K51" s="93"/>
      <c r="L51" s="116">
        <f>SUM(L39:L50)</f>
        <v>206080</v>
      </c>
      <c r="M51" s="116">
        <f t="shared" ref="M51:P51" si="16">SUM(M39:M50)</f>
        <v>0</v>
      </c>
      <c r="N51" s="116">
        <f t="shared" si="16"/>
        <v>39155</v>
      </c>
      <c r="O51" s="116">
        <f t="shared" si="16"/>
        <v>0</v>
      </c>
      <c r="P51" s="116">
        <f t="shared" si="16"/>
        <v>245235</v>
      </c>
      <c r="Q51" s="159">
        <f>SUM(Q39:Q50)</f>
        <v>0</v>
      </c>
      <c r="R51" s="159">
        <f>SUM(R39:R50)</f>
        <v>0</v>
      </c>
      <c r="S51" s="117">
        <f>SUM(S39:S50)</f>
        <v>0</v>
      </c>
      <c r="T51" s="117">
        <f t="shared" ref="T51:U51" si="17">SUM(T39:T50)</f>
        <v>0</v>
      </c>
      <c r="U51" s="117">
        <f t="shared" si="17"/>
        <v>0</v>
      </c>
      <c r="V51" s="144">
        <f>SUM(V39:V50)</f>
        <v>0.1</v>
      </c>
      <c r="W51" s="115">
        <f>SUM(W39:W50)</f>
        <v>36242.199999999997</v>
      </c>
      <c r="X51" s="124">
        <f>SUM(X39:X50)</f>
        <v>0</v>
      </c>
      <c r="Y51" s="124">
        <f t="shared" ref="Y51:AB51" si="18">SUM(Y39:Y50)</f>
        <v>0</v>
      </c>
      <c r="Z51" s="124">
        <f t="shared" si="18"/>
        <v>48000</v>
      </c>
      <c r="AA51" s="124">
        <f>SUM(AA39:AA50)</f>
        <v>0</v>
      </c>
      <c r="AB51" s="124">
        <f t="shared" si="18"/>
        <v>30084</v>
      </c>
    </row>
    <row r="52" spans="1:35" s="4" customFormat="1" x14ac:dyDescent="0.2">
      <c r="A52" s="118" t="s">
        <v>125</v>
      </c>
      <c r="B52" s="119"/>
      <c r="C52" s="119"/>
      <c r="D52" s="119"/>
      <c r="E52" s="119"/>
      <c r="F52" s="120">
        <f>+F45/L17</f>
        <v>8.1962463647350325E-2</v>
      </c>
      <c r="G52" s="145" t="s">
        <v>54</v>
      </c>
      <c r="H52" s="146">
        <f>+H51/1</f>
        <v>362422</v>
      </c>
      <c r="I52" s="146">
        <f>+I51/1</f>
        <v>68860</v>
      </c>
      <c r="J52" s="146">
        <f>+J51/1</f>
        <v>431282</v>
      </c>
      <c r="K52" s="145"/>
      <c r="L52" s="149">
        <f t="shared" ref="L52:AB52" si="19">+L51/1</f>
        <v>206080</v>
      </c>
      <c r="M52" s="149">
        <f t="shared" si="19"/>
        <v>0</v>
      </c>
      <c r="N52" s="149">
        <f t="shared" si="19"/>
        <v>39155</v>
      </c>
      <c r="O52" s="149">
        <f t="shared" si="19"/>
        <v>0</v>
      </c>
      <c r="P52" s="149">
        <f t="shared" si="19"/>
        <v>245235</v>
      </c>
      <c r="Q52" s="160">
        <f t="shared" si="19"/>
        <v>0</v>
      </c>
      <c r="R52" s="160">
        <f t="shared" si="19"/>
        <v>0</v>
      </c>
      <c r="S52" s="150">
        <f t="shared" si="19"/>
        <v>0</v>
      </c>
      <c r="T52" s="150">
        <f t="shared" si="19"/>
        <v>0</v>
      </c>
      <c r="U52" s="150">
        <f t="shared" si="19"/>
        <v>0</v>
      </c>
      <c r="V52" s="147">
        <f t="shared" si="19"/>
        <v>0.1</v>
      </c>
      <c r="W52" s="148">
        <f t="shared" si="19"/>
        <v>36242.199999999997</v>
      </c>
      <c r="X52" s="151">
        <f t="shared" si="19"/>
        <v>0</v>
      </c>
      <c r="Y52" s="151">
        <f t="shared" si="19"/>
        <v>0</v>
      </c>
      <c r="Z52" s="151">
        <f t="shared" si="19"/>
        <v>48000</v>
      </c>
      <c r="AA52" s="151">
        <f t="shared" si="19"/>
        <v>0</v>
      </c>
      <c r="AB52" s="151">
        <f t="shared" si="19"/>
        <v>30084</v>
      </c>
    </row>
    <row r="53" spans="1:35" s="4" customFormat="1" x14ac:dyDescent="0.2">
      <c r="A53" s="2"/>
      <c r="B53" s="2"/>
      <c r="C53" s="2"/>
      <c r="D53" s="2"/>
      <c r="E53" s="2"/>
      <c r="F53" s="2"/>
      <c r="G53" s="2"/>
      <c r="Q53" s="2"/>
      <c r="R53" s="2"/>
      <c r="T53" s="2"/>
      <c r="U53" s="2"/>
    </row>
    <row r="54" spans="1:35" x14ac:dyDescent="0.2">
      <c r="X54" s="121"/>
      <c r="AB54" s="121"/>
      <c r="AD54" s="4"/>
      <c r="AF54" s="121"/>
      <c r="AI54" s="121">
        <v>-4.5</v>
      </c>
    </row>
    <row r="55" spans="1:35" x14ac:dyDescent="0.2">
      <c r="AD55" s="4"/>
    </row>
  </sheetData>
  <mergeCells count="12">
    <mergeCell ref="E32:F32"/>
    <mergeCell ref="X37:AB37"/>
    <mergeCell ref="A37:F37"/>
    <mergeCell ref="G37:K37"/>
    <mergeCell ref="L37:P37"/>
    <mergeCell ref="Q37:R37"/>
    <mergeCell ref="S37:U37"/>
    <mergeCell ref="V37:W37"/>
    <mergeCell ref="B3:D3"/>
    <mergeCell ref="E3:F3"/>
    <mergeCell ref="E4:F4"/>
    <mergeCell ref="E20:F20"/>
  </mergeCells>
  <pageMargins left="0.7" right="0.7" top="0.75" bottom="0.75" header="0.3" footer="0.3"/>
  <ignoredErrors>
    <ignoredError sqref="P25 N29 M10:N16" formula="1"/>
    <ignoredError sqref="V32" evalError="1"/>
    <ignoredError sqref="P21 P22:P24" formulaRange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Dic 23</vt:lpstr>
      <vt:lpstr>Nov 23</vt:lpstr>
      <vt:lpstr>Oct 23</vt:lpstr>
      <vt:lpstr>Sep 23</vt:lpstr>
      <vt:lpstr>Ago 23</vt:lpstr>
      <vt:lpstr>Jul 23</vt:lpstr>
      <vt:lpstr>Jun 23</vt:lpstr>
      <vt:lpstr>May 23</vt:lpstr>
      <vt:lpstr>Abr 23</vt:lpstr>
      <vt:lpstr>Mar 23</vt:lpstr>
      <vt:lpstr>Feb 23</vt:lpstr>
      <vt:lpstr>Ene 23</vt:lpstr>
    </vt:vector>
  </TitlesOfParts>
  <Company>Agf 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Agf Allianz</dc:creator>
  <cp:lastModifiedBy>Patricio</cp:lastModifiedBy>
  <cp:lastPrinted>2017-08-31T19:05:42Z</cp:lastPrinted>
  <dcterms:created xsi:type="dcterms:W3CDTF">2003-08-17T21:10:14Z</dcterms:created>
  <dcterms:modified xsi:type="dcterms:W3CDTF">2024-02-19T16:44:13Z</dcterms:modified>
</cp:coreProperties>
</file>