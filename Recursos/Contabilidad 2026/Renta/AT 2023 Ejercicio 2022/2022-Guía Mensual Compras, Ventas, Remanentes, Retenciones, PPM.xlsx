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D:\Brzovic Cabrera Ltda\Brzovic Cabrera Ltda\Impuestos\Renta\"/>
    </mc:Choice>
  </mc:AlternateContent>
  <xr:revisionPtr revIDLastSave="0" documentId="13_ncr:1_{1048B234-FF71-4B7B-96E9-8858DE430261}" xr6:coauthVersionLast="47" xr6:coauthVersionMax="47" xr10:uidLastSave="{00000000-0000-0000-0000-000000000000}"/>
  <bookViews>
    <workbookView xWindow="-120" yWindow="-120" windowWidth="29040" windowHeight="15840" tabRatio="952" xr2:uid="{00000000-000D-0000-FFFF-FFFF00000000}"/>
  </bookViews>
  <sheets>
    <sheet name="Dic 22" sheetId="242" r:id="rId1"/>
    <sheet name="Nov 22" sheetId="241" r:id="rId2"/>
    <sheet name="Oct 22" sheetId="240" r:id="rId3"/>
    <sheet name="Sep 22" sheetId="239" r:id="rId4"/>
  </sheets>
  <definedNames>
    <definedName name="_xlnm._FilterDatabase" localSheetId="1" hidden="1">'Nov 22'!$A$53:$H$54</definedName>
    <definedName name="_xlnm._FilterDatabase" localSheetId="2" hidden="1">'Oct 22'!$A$59:$H$60</definedName>
    <definedName name="_xlnm._FilterDatabase" localSheetId="3" hidden="1">'Sep 22'!$A$56:$H$57</definedName>
  </definedNames>
  <calcPr calcId="191029"/>
  <fileRecoveryPr autoRecover="0"/>
</workbook>
</file>

<file path=xl/calcChain.xml><?xml version="1.0" encoding="utf-8"?>
<calcChain xmlns="http://schemas.openxmlformats.org/spreadsheetml/2006/main">
  <c r="Y53" i="242" l="1"/>
  <c r="Q53" i="242"/>
  <c r="M53" i="242"/>
  <c r="H53" i="242"/>
  <c r="AB52" i="242"/>
  <c r="AB53" i="242" s="1"/>
  <c r="AA52" i="242"/>
  <c r="AA53" i="242" s="1"/>
  <c r="Z52" i="242"/>
  <c r="Y52" i="242"/>
  <c r="X52" i="242"/>
  <c r="X53" i="242" s="1"/>
  <c r="V52" i="242"/>
  <c r="V53" i="242" s="1"/>
  <c r="S52" i="242"/>
  <c r="S53" i="242" s="1"/>
  <c r="R52" i="242"/>
  <c r="Q52" i="242"/>
  <c r="O52" i="242"/>
  <c r="O53" i="242" s="1"/>
  <c r="N52" i="242"/>
  <c r="N53" i="242" s="1"/>
  <c r="M52" i="242"/>
  <c r="L52" i="242"/>
  <c r="L53" i="242" s="1"/>
  <c r="H52" i="242"/>
  <c r="W51" i="242"/>
  <c r="U51" i="242"/>
  <c r="T51" i="242"/>
  <c r="P51" i="242"/>
  <c r="I51" i="242"/>
  <c r="J51" i="242" s="1"/>
  <c r="W50" i="242"/>
  <c r="T50" i="242"/>
  <c r="U50" i="242" s="1"/>
  <c r="P50" i="242"/>
  <c r="I50" i="242"/>
  <c r="J50" i="242" s="1"/>
  <c r="W49" i="242"/>
  <c r="T49" i="242"/>
  <c r="U49" i="242" s="1"/>
  <c r="P49" i="242"/>
  <c r="I49" i="242"/>
  <c r="J49" i="242" s="1"/>
  <c r="W48" i="242"/>
  <c r="U48" i="242"/>
  <c r="T48" i="242"/>
  <c r="P48" i="242"/>
  <c r="I48" i="242"/>
  <c r="J48" i="242" s="1"/>
  <c r="W47" i="242"/>
  <c r="T47" i="242"/>
  <c r="U47" i="242" s="1"/>
  <c r="P47" i="242"/>
  <c r="I47" i="242"/>
  <c r="J47" i="242" s="1"/>
  <c r="W46" i="242"/>
  <c r="T46" i="242"/>
  <c r="U46" i="242" s="1"/>
  <c r="P46" i="242"/>
  <c r="I46" i="242"/>
  <c r="J46" i="242" s="1"/>
  <c r="W45" i="242"/>
  <c r="T45" i="242"/>
  <c r="U45" i="242" s="1"/>
  <c r="P45" i="242"/>
  <c r="J45" i="242"/>
  <c r="I45" i="242"/>
  <c r="W44" i="242"/>
  <c r="U44" i="242"/>
  <c r="T44" i="242"/>
  <c r="P44" i="242"/>
  <c r="I44" i="242"/>
  <c r="J44" i="242" s="1"/>
  <c r="W43" i="242"/>
  <c r="T43" i="242"/>
  <c r="U43" i="242" s="1"/>
  <c r="P43" i="242"/>
  <c r="I43" i="242"/>
  <c r="J43" i="242" s="1"/>
  <c r="W42" i="242"/>
  <c r="T42" i="242"/>
  <c r="U42" i="242" s="1"/>
  <c r="P42" i="242"/>
  <c r="I42" i="242"/>
  <c r="J42" i="242" s="1"/>
  <c r="W41" i="242"/>
  <c r="U41" i="242"/>
  <c r="T41" i="242"/>
  <c r="P41" i="242"/>
  <c r="I41" i="242"/>
  <c r="W40" i="242"/>
  <c r="T40" i="242"/>
  <c r="T52" i="242" s="1"/>
  <c r="T53" i="242" s="1"/>
  <c r="P40" i="242"/>
  <c r="I40" i="242"/>
  <c r="J40" i="242" s="1"/>
  <c r="L36" i="242"/>
  <c r="M35" i="242"/>
  <c r="N35" i="242" s="1"/>
  <c r="M34" i="242"/>
  <c r="M36" i="242" s="1"/>
  <c r="F47" i="242" s="1"/>
  <c r="M30" i="242"/>
  <c r="O29" i="242"/>
  <c r="M29" i="242"/>
  <c r="L29" i="242"/>
  <c r="N28" i="242"/>
  <c r="P28" i="242" s="1"/>
  <c r="N27" i="242"/>
  <c r="N29" i="242" s="1"/>
  <c r="F45" i="242" s="1"/>
  <c r="O26" i="242"/>
  <c r="O30" i="242" s="1"/>
  <c r="N26" i="242"/>
  <c r="F44" i="242" s="1"/>
  <c r="M26" i="242"/>
  <c r="L26" i="242"/>
  <c r="L30" i="242" s="1"/>
  <c r="P25" i="242"/>
  <c r="P24" i="242"/>
  <c r="P23" i="242"/>
  <c r="P22" i="242"/>
  <c r="P26" i="242" s="1"/>
  <c r="M17" i="242"/>
  <c r="L17" i="242"/>
  <c r="M16" i="242"/>
  <c r="N16" i="242" s="1"/>
  <c r="N15" i="242"/>
  <c r="M15" i="242"/>
  <c r="L14" i="242"/>
  <c r="M13" i="242"/>
  <c r="N13" i="242" s="1"/>
  <c r="M12" i="242"/>
  <c r="M14" i="242" s="1"/>
  <c r="F41" i="242" s="1"/>
  <c r="L11" i="242"/>
  <c r="L18" i="242" s="1"/>
  <c r="N10" i="242"/>
  <c r="M10" i="242"/>
  <c r="M9" i="242"/>
  <c r="N9" i="242" s="1"/>
  <c r="N8" i="242"/>
  <c r="M8" i="242"/>
  <c r="M7" i="242"/>
  <c r="N7" i="242" s="1"/>
  <c r="N6" i="242"/>
  <c r="M6" i="242"/>
  <c r="M5" i="242"/>
  <c r="M11" i="242" s="1"/>
  <c r="W52" i="242" l="1"/>
  <c r="I52" i="242"/>
  <c r="I53" i="242" s="1"/>
  <c r="P52" i="242"/>
  <c r="P53" i="242" s="1"/>
  <c r="N17" i="242"/>
  <c r="W53" i="242"/>
  <c r="F48" i="242"/>
  <c r="F39" i="242"/>
  <c r="M18" i="242"/>
  <c r="F40" i="242"/>
  <c r="F43" i="242" s="1"/>
  <c r="F46" i="242" s="1"/>
  <c r="N30" i="242"/>
  <c r="U40" i="242"/>
  <c r="U52" i="242" s="1"/>
  <c r="J41" i="242"/>
  <c r="J52" i="242" s="1"/>
  <c r="J53" i="242" s="1"/>
  <c r="R53" i="242"/>
  <c r="Z53" i="242"/>
  <c r="N12" i="242"/>
  <c r="N14" i="242" s="1"/>
  <c r="N5" i="242"/>
  <c r="N11" i="242" s="1"/>
  <c r="N18" i="242" s="1"/>
  <c r="P27" i="242"/>
  <c r="P29" i="242" s="1"/>
  <c r="P30" i="242" s="1"/>
  <c r="N34" i="242"/>
  <c r="N36" i="242" s="1"/>
  <c r="F53" i="242" l="1"/>
  <c r="F51" i="242"/>
  <c r="F52" i="242" s="1"/>
  <c r="F50" i="242"/>
  <c r="U53" i="242"/>
  <c r="Y53" i="241" l="1"/>
  <c r="AB52" i="241"/>
  <c r="AB53" i="241" s="1"/>
  <c r="AA52" i="241"/>
  <c r="AA53" i="241" s="1"/>
  <c r="Z52" i="241"/>
  <c r="Y52" i="241"/>
  <c r="X52" i="241"/>
  <c r="X53" i="241" s="1"/>
  <c r="V52" i="241"/>
  <c r="V53" i="241" s="1"/>
  <c r="S52" i="241"/>
  <c r="S53" i="241" s="1"/>
  <c r="R52" i="241"/>
  <c r="Q52" i="241"/>
  <c r="Q53" i="241" s="1"/>
  <c r="O52" i="241"/>
  <c r="O53" i="241" s="1"/>
  <c r="N52" i="241"/>
  <c r="N53" i="241" s="1"/>
  <c r="M52" i="241"/>
  <c r="M53" i="241" s="1"/>
  <c r="L52" i="241"/>
  <c r="L53" i="241" s="1"/>
  <c r="H52" i="241"/>
  <c r="H53" i="241" s="1"/>
  <c r="W51" i="241"/>
  <c r="T51" i="241"/>
  <c r="U51" i="241" s="1"/>
  <c r="P51" i="241"/>
  <c r="I51" i="241"/>
  <c r="J51" i="241" s="1"/>
  <c r="W50" i="241"/>
  <c r="T50" i="241"/>
  <c r="U50" i="241" s="1"/>
  <c r="P50" i="241"/>
  <c r="I50" i="241"/>
  <c r="J50" i="241" s="1"/>
  <c r="W49" i="241"/>
  <c r="T49" i="241"/>
  <c r="U49" i="241" s="1"/>
  <c r="P49" i="241"/>
  <c r="I49" i="241"/>
  <c r="J49" i="241" s="1"/>
  <c r="W48" i="241"/>
  <c r="U48" i="241"/>
  <c r="T48" i="241"/>
  <c r="P48" i="241"/>
  <c r="I48" i="241"/>
  <c r="J48" i="241" s="1"/>
  <c r="W47" i="241"/>
  <c r="T47" i="241"/>
  <c r="U47" i="241" s="1"/>
  <c r="P47" i="241"/>
  <c r="I47" i="241"/>
  <c r="J47" i="241" s="1"/>
  <c r="F47" i="241"/>
  <c r="W46" i="241"/>
  <c r="T46" i="241"/>
  <c r="U46" i="241" s="1"/>
  <c r="P46" i="241"/>
  <c r="I46" i="241"/>
  <c r="J46" i="241" s="1"/>
  <c r="W45" i="241"/>
  <c r="T45" i="241"/>
  <c r="U45" i="241" s="1"/>
  <c r="P45" i="241"/>
  <c r="J45" i="241"/>
  <c r="I45" i="241"/>
  <c r="W44" i="241"/>
  <c r="T44" i="241"/>
  <c r="U44" i="241" s="1"/>
  <c r="P44" i="241"/>
  <c r="I44" i="241"/>
  <c r="J44" i="241" s="1"/>
  <c r="W43" i="241"/>
  <c r="T43" i="241"/>
  <c r="U43" i="241" s="1"/>
  <c r="P43" i="241"/>
  <c r="I43" i="241"/>
  <c r="J43" i="241" s="1"/>
  <c r="W42" i="241"/>
  <c r="T42" i="241"/>
  <c r="U42" i="241" s="1"/>
  <c r="P42" i="241"/>
  <c r="I42" i="241"/>
  <c r="J42" i="241" s="1"/>
  <c r="W41" i="241"/>
  <c r="U41" i="241"/>
  <c r="T41" i="241"/>
  <c r="P41" i="241"/>
  <c r="I41" i="241"/>
  <c r="J41" i="241" s="1"/>
  <c r="W40" i="241"/>
  <c r="T40" i="241"/>
  <c r="P40" i="241"/>
  <c r="I40" i="241"/>
  <c r="J40" i="241" s="1"/>
  <c r="L36" i="241"/>
  <c r="M35" i="241"/>
  <c r="N35" i="241" s="1"/>
  <c r="M34" i="241"/>
  <c r="M36" i="241" s="1"/>
  <c r="O29" i="241"/>
  <c r="M29" i="241"/>
  <c r="M30" i="241" s="1"/>
  <c r="L29" i="241"/>
  <c r="N28" i="241"/>
  <c r="P28" i="241" s="1"/>
  <c r="N27" i="241"/>
  <c r="O26" i="241"/>
  <c r="O30" i="241" s="1"/>
  <c r="N26" i="241"/>
  <c r="M26" i="241"/>
  <c r="L26" i="241"/>
  <c r="L30" i="241" s="1"/>
  <c r="P25" i="241"/>
  <c r="P24" i="241"/>
  <c r="P23" i="241"/>
  <c r="P22" i="241"/>
  <c r="P26" i="241" s="1"/>
  <c r="L17" i="241"/>
  <c r="M16" i="241"/>
  <c r="N16" i="241" s="1"/>
  <c r="N15" i="241"/>
  <c r="M15" i="241"/>
  <c r="M17" i="241" s="1"/>
  <c r="L14" i="241"/>
  <c r="M13" i="241"/>
  <c r="N13" i="241" s="1"/>
  <c r="M12" i="241"/>
  <c r="M14" i="241" s="1"/>
  <c r="F41" i="241" s="1"/>
  <c r="L11" i="241"/>
  <c r="M10" i="241"/>
  <c r="N10" i="241" s="1"/>
  <c r="M9" i="241"/>
  <c r="N9" i="241" s="1"/>
  <c r="M8" i="241"/>
  <c r="N8" i="241" s="1"/>
  <c r="M7" i="241"/>
  <c r="N7" i="241" s="1"/>
  <c r="N6" i="241"/>
  <c r="M6" i="241"/>
  <c r="M5" i="241"/>
  <c r="J52" i="241" l="1"/>
  <c r="J53" i="241" s="1"/>
  <c r="N29" i="241"/>
  <c r="F45" i="241" s="1"/>
  <c r="L18" i="241"/>
  <c r="F39" i="241" s="1"/>
  <c r="F48" i="241"/>
  <c r="W52" i="241"/>
  <c r="Z53" i="241"/>
  <c r="P52" i="241"/>
  <c r="P53" i="241" s="1"/>
  <c r="I52" i="241"/>
  <c r="I53" i="241" s="1"/>
  <c r="M11" i="241"/>
  <c r="N5" i="241"/>
  <c r="N11" i="241" s="1"/>
  <c r="N18" i="241" s="1"/>
  <c r="N12" i="241"/>
  <c r="N14" i="241" s="1"/>
  <c r="N17" i="241"/>
  <c r="F44" i="241"/>
  <c r="N30" i="241"/>
  <c r="T52" i="241"/>
  <c r="T53" i="241" s="1"/>
  <c r="U40" i="241"/>
  <c r="U52" i="241" s="1"/>
  <c r="R53" i="241"/>
  <c r="P27" i="241"/>
  <c r="P29" i="241" s="1"/>
  <c r="P30" i="241" s="1"/>
  <c r="N34" i="241"/>
  <c r="N36" i="241" s="1"/>
  <c r="H59" i="240"/>
  <c r="AB58" i="240"/>
  <c r="AB59" i="240" s="1"/>
  <c r="AA58" i="240"/>
  <c r="AA59" i="240" s="1"/>
  <c r="Z58" i="240"/>
  <c r="Y58" i="240"/>
  <c r="Y59" i="240" s="1"/>
  <c r="X58" i="240"/>
  <c r="X59" i="240" s="1"/>
  <c r="V58" i="240"/>
  <c r="V59" i="240" s="1"/>
  <c r="S58" i="240"/>
  <c r="S59" i="240" s="1"/>
  <c r="R58" i="240"/>
  <c r="R59" i="240" s="1"/>
  <c r="Q58" i="240"/>
  <c r="Q59" i="240" s="1"/>
  <c r="O58" i="240"/>
  <c r="O59" i="240" s="1"/>
  <c r="N58" i="240"/>
  <c r="N59" i="240" s="1"/>
  <c r="M58" i="240"/>
  <c r="M59" i="240" s="1"/>
  <c r="L58" i="240"/>
  <c r="L59" i="240" s="1"/>
  <c r="H58" i="240"/>
  <c r="W57" i="240"/>
  <c r="U57" i="240"/>
  <c r="T57" i="240"/>
  <c r="P57" i="240"/>
  <c r="I57" i="240"/>
  <c r="J57" i="240" s="1"/>
  <c r="W56" i="240"/>
  <c r="T56" i="240"/>
  <c r="U56" i="240" s="1"/>
  <c r="P56" i="240"/>
  <c r="I56" i="240"/>
  <c r="J56" i="240" s="1"/>
  <c r="W55" i="240"/>
  <c r="T55" i="240"/>
  <c r="U55" i="240" s="1"/>
  <c r="P55" i="240"/>
  <c r="I55" i="240"/>
  <c r="J55" i="240" s="1"/>
  <c r="W54" i="240"/>
  <c r="T54" i="240"/>
  <c r="U54" i="240" s="1"/>
  <c r="P54" i="240"/>
  <c r="I54" i="240"/>
  <c r="J54" i="240" s="1"/>
  <c r="W53" i="240"/>
  <c r="T53" i="240"/>
  <c r="U53" i="240" s="1"/>
  <c r="P53" i="240"/>
  <c r="I53" i="240"/>
  <c r="J53" i="240" s="1"/>
  <c r="W52" i="240"/>
  <c r="T52" i="240"/>
  <c r="U52" i="240" s="1"/>
  <c r="P52" i="240"/>
  <c r="I52" i="240"/>
  <c r="J52" i="240" s="1"/>
  <c r="W51" i="240"/>
  <c r="T51" i="240"/>
  <c r="U51" i="240" s="1"/>
  <c r="P51" i="240"/>
  <c r="J51" i="240"/>
  <c r="I51" i="240"/>
  <c r="W50" i="240"/>
  <c r="U50" i="240"/>
  <c r="T50" i="240"/>
  <c r="P50" i="240"/>
  <c r="I50" i="240"/>
  <c r="J50" i="240" s="1"/>
  <c r="W49" i="240"/>
  <c r="T49" i="240"/>
  <c r="U49" i="240" s="1"/>
  <c r="P49" i="240"/>
  <c r="I49" i="240"/>
  <c r="J49" i="240" s="1"/>
  <c r="W48" i="240"/>
  <c r="T48" i="240"/>
  <c r="U48" i="240" s="1"/>
  <c r="P48" i="240"/>
  <c r="I48" i="240"/>
  <c r="J48" i="240" s="1"/>
  <c r="W47" i="240"/>
  <c r="W58" i="240" s="1"/>
  <c r="W59" i="240" s="1"/>
  <c r="U47" i="240"/>
  <c r="T47" i="240"/>
  <c r="P47" i="240"/>
  <c r="I47" i="240"/>
  <c r="J47" i="240" s="1"/>
  <c r="W46" i="240"/>
  <c r="T46" i="240"/>
  <c r="P46" i="240"/>
  <c r="I46" i="240"/>
  <c r="J46" i="240" s="1"/>
  <c r="J58" i="240" s="1"/>
  <c r="J59" i="240" s="1"/>
  <c r="L42" i="240"/>
  <c r="M41" i="240"/>
  <c r="N41" i="240" s="1"/>
  <c r="M40" i="240"/>
  <c r="M42" i="240" s="1"/>
  <c r="F53" i="240" s="1"/>
  <c r="O35" i="240"/>
  <c r="M35" i="240"/>
  <c r="L35" i="240"/>
  <c r="N34" i="240"/>
  <c r="P34" i="240" s="1"/>
  <c r="P35" i="240" s="1"/>
  <c r="N33" i="240"/>
  <c r="P33" i="240" s="1"/>
  <c r="O32" i="240"/>
  <c r="N32" i="240"/>
  <c r="M32" i="240"/>
  <c r="M36" i="240" s="1"/>
  <c r="L32" i="240"/>
  <c r="L36" i="240" s="1"/>
  <c r="P31" i="240"/>
  <c r="P30" i="240"/>
  <c r="P29" i="240"/>
  <c r="P28" i="240"/>
  <c r="L23" i="240"/>
  <c r="M22" i="240"/>
  <c r="N22" i="240" s="1"/>
  <c r="M21" i="240"/>
  <c r="L20" i="240"/>
  <c r="M19" i="240"/>
  <c r="N19" i="240" s="1"/>
  <c r="N18" i="240"/>
  <c r="M18" i="240"/>
  <c r="L17" i="240"/>
  <c r="N16" i="240"/>
  <c r="M16" i="240"/>
  <c r="M15" i="240"/>
  <c r="N15" i="240" s="1"/>
  <c r="M14" i="240"/>
  <c r="N14" i="240" s="1"/>
  <c r="M13" i="240"/>
  <c r="N13" i="240" s="1"/>
  <c r="M12" i="240"/>
  <c r="N12" i="240" s="1"/>
  <c r="M11" i="240"/>
  <c r="N11" i="240" s="1"/>
  <c r="M10" i="240"/>
  <c r="N10" i="240" s="1"/>
  <c r="M9" i="240"/>
  <c r="N9" i="240" s="1"/>
  <c r="N8" i="240"/>
  <c r="M8" i="240"/>
  <c r="M7" i="240"/>
  <c r="N7" i="240" s="1"/>
  <c r="M6" i="240"/>
  <c r="M17" i="240" s="1"/>
  <c r="M5" i="240"/>
  <c r="N5" i="240" s="1"/>
  <c r="Z59" i="240" l="1"/>
  <c r="M18" i="241"/>
  <c r="F40" i="241"/>
  <c r="F43" i="241" s="1"/>
  <c r="F46" i="241" s="1"/>
  <c r="U53" i="241"/>
  <c r="W53" i="241"/>
  <c r="L24" i="240"/>
  <c r="P58" i="240"/>
  <c r="P59" i="240" s="1"/>
  <c r="M23" i="240"/>
  <c r="O36" i="240"/>
  <c r="N20" i="240"/>
  <c r="F46" i="240"/>
  <c r="F54" i="240"/>
  <c r="F45" i="240"/>
  <c r="N6" i="240"/>
  <c r="N17" i="240" s="1"/>
  <c r="N24" i="240" s="1"/>
  <c r="I58" i="240"/>
  <c r="I59" i="240" s="1"/>
  <c r="T58" i="240"/>
  <c r="U46" i="240"/>
  <c r="U58" i="240" s="1"/>
  <c r="M20" i="240"/>
  <c r="F47" i="240" s="1"/>
  <c r="P32" i="240"/>
  <c r="P36" i="240" s="1"/>
  <c r="F50" i="240"/>
  <c r="N35" i="240"/>
  <c r="F51" i="240" s="1"/>
  <c r="N21" i="240"/>
  <c r="N23" i="240" s="1"/>
  <c r="N40" i="240"/>
  <c r="N42" i="240" s="1"/>
  <c r="F53" i="241" l="1"/>
  <c r="F51" i="241"/>
  <c r="F52" i="241" s="1"/>
  <c r="F50" i="241"/>
  <c r="U59" i="240"/>
  <c r="T59" i="240"/>
  <c r="F49" i="240"/>
  <c r="F52" i="240" s="1"/>
  <c r="N36" i="240"/>
  <c r="M24" i="240"/>
  <c r="F59" i="240" l="1"/>
  <c r="F57" i="240"/>
  <c r="F58" i="240" s="1"/>
  <c r="F56" i="240"/>
  <c r="M29" i="239" l="1"/>
  <c r="N29" i="239"/>
  <c r="O29" i="239"/>
  <c r="L29" i="239"/>
  <c r="P25" i="239"/>
  <c r="R55" i="239"/>
  <c r="R56" i="239"/>
  <c r="T44" i="239"/>
  <c r="T45" i="239"/>
  <c r="T46" i="239"/>
  <c r="T47" i="239"/>
  <c r="T48" i="239"/>
  <c r="T49" i="239"/>
  <c r="T50" i="239"/>
  <c r="T51" i="239"/>
  <c r="T52" i="239"/>
  <c r="T53" i="239"/>
  <c r="T54" i="239"/>
  <c r="T43" i="239"/>
  <c r="P44" i="239" l="1"/>
  <c r="P45" i="239"/>
  <c r="P46" i="239"/>
  <c r="P47" i="239"/>
  <c r="P48" i="239"/>
  <c r="P49" i="239"/>
  <c r="P50" i="239"/>
  <c r="P51" i="239"/>
  <c r="P52" i="239"/>
  <c r="P53" i="239"/>
  <c r="P54" i="239"/>
  <c r="I54" i="239"/>
  <c r="J54" i="239" s="1"/>
  <c r="I53" i="239"/>
  <c r="J53" i="239" s="1"/>
  <c r="I52" i="239"/>
  <c r="J52" i="239" s="1"/>
  <c r="I51" i="239"/>
  <c r="J51" i="239" s="1"/>
  <c r="I49" i="239"/>
  <c r="I48" i="239"/>
  <c r="I47" i="239"/>
  <c r="I46" i="239"/>
  <c r="J46" i="239" s="1"/>
  <c r="I45" i="239"/>
  <c r="J45" i="239" s="1"/>
  <c r="I44" i="239"/>
  <c r="I43" i="239"/>
  <c r="J43" i="239" s="1"/>
  <c r="M18" i="239"/>
  <c r="N18" i="239" s="1"/>
  <c r="AB55" i="239"/>
  <c r="AB56" i="239" s="1"/>
  <c r="AA55" i="239"/>
  <c r="AA56" i="239" s="1"/>
  <c r="Z55" i="239"/>
  <c r="Z56" i="239" s="1"/>
  <c r="Y55" i="239"/>
  <c r="Y56" i="239" s="1"/>
  <c r="X55" i="239"/>
  <c r="Q55" i="239"/>
  <c r="Q56" i="239" s="1"/>
  <c r="S55" i="239"/>
  <c r="S56" i="239" s="1"/>
  <c r="O55" i="239"/>
  <c r="O56" i="239" s="1"/>
  <c r="N55" i="239"/>
  <c r="N56" i="239" s="1"/>
  <c r="M55" i="239"/>
  <c r="M56" i="239" s="1"/>
  <c r="L55" i="239"/>
  <c r="V55" i="239"/>
  <c r="V56" i="239" s="1"/>
  <c r="U54" i="239"/>
  <c r="W54" i="239"/>
  <c r="W53" i="239"/>
  <c r="U52" i="239"/>
  <c r="W52" i="239"/>
  <c r="U51" i="239"/>
  <c r="W51" i="239"/>
  <c r="U50" i="239"/>
  <c r="W50" i="239"/>
  <c r="I50" i="239"/>
  <c r="J50" i="239" s="1"/>
  <c r="U49" i="239"/>
  <c r="U48" i="239"/>
  <c r="U47" i="239"/>
  <c r="W47" i="239"/>
  <c r="J47" i="239"/>
  <c r="U46" i="239"/>
  <c r="W46" i="239"/>
  <c r="U45" i="239"/>
  <c r="W45" i="239"/>
  <c r="U44" i="239"/>
  <c r="W44" i="239"/>
  <c r="J44" i="239"/>
  <c r="U43" i="239"/>
  <c r="P43" i="239"/>
  <c r="W43" i="239"/>
  <c r="L39" i="239"/>
  <c r="M38" i="239"/>
  <c r="N38" i="239" s="1"/>
  <c r="M37" i="239"/>
  <c r="N37" i="239" s="1"/>
  <c r="O32" i="239"/>
  <c r="M32" i="239"/>
  <c r="L32" i="239"/>
  <c r="N31" i="239"/>
  <c r="P31" i="239" s="1"/>
  <c r="N30" i="239"/>
  <c r="F47" i="239"/>
  <c r="P28" i="239"/>
  <c r="P27" i="239"/>
  <c r="P26" i="239"/>
  <c r="P29" i="239" s="1"/>
  <c r="L20" i="239"/>
  <c r="M19" i="239"/>
  <c r="L17" i="239"/>
  <c r="M16" i="239"/>
  <c r="N16" i="239" s="1"/>
  <c r="M15" i="239"/>
  <c r="N15" i="239" s="1"/>
  <c r="L14" i="239"/>
  <c r="M13" i="239"/>
  <c r="N13" i="239" s="1"/>
  <c r="M12" i="239"/>
  <c r="N12" i="239" s="1"/>
  <c r="M11" i="239"/>
  <c r="N11" i="239" s="1"/>
  <c r="M10" i="239"/>
  <c r="N10" i="239" s="1"/>
  <c r="M9" i="239"/>
  <c r="N9" i="239" s="1"/>
  <c r="M8" i="239"/>
  <c r="N8" i="239" s="1"/>
  <c r="M7" i="239"/>
  <c r="N7" i="239" s="1"/>
  <c r="M6" i="239"/>
  <c r="N6" i="239" s="1"/>
  <c r="M5" i="239"/>
  <c r="M20" i="239" l="1"/>
  <c r="X56" i="239"/>
  <c r="L56" i="239"/>
  <c r="O33" i="239"/>
  <c r="T55" i="239"/>
  <c r="P55" i="239"/>
  <c r="P56" i="239" s="1"/>
  <c r="N17" i="239"/>
  <c r="M33" i="239"/>
  <c r="N19" i="239"/>
  <c r="N20" i="239" s="1"/>
  <c r="M39" i="239"/>
  <c r="F50" i="239" s="1"/>
  <c r="M14" i="239"/>
  <c r="F43" i="239" s="1"/>
  <c r="U53" i="239"/>
  <c r="U55" i="239" s="1"/>
  <c r="N39" i="239"/>
  <c r="L33" i="239"/>
  <c r="N32" i="239"/>
  <c r="N33" i="239" s="1"/>
  <c r="N5" i="239"/>
  <c r="N14" i="239" s="1"/>
  <c r="L21" i="239"/>
  <c r="F51" i="239" s="1"/>
  <c r="M17" i="239"/>
  <c r="F44" i="239" s="1"/>
  <c r="P30" i="239"/>
  <c r="P32" i="239" s="1"/>
  <c r="U56" i="239" l="1"/>
  <c r="T56" i="239"/>
  <c r="F48" i="239"/>
  <c r="N21" i="239"/>
  <c r="F42" i="239"/>
  <c r="P33" i="239"/>
  <c r="M21" i="239"/>
  <c r="F46" i="239"/>
  <c r="F49" i="239" s="1"/>
  <c r="H55" i="239"/>
  <c r="W48" i="239"/>
  <c r="J48" i="239"/>
  <c r="H56" i="239" l="1"/>
  <c r="W49" i="239"/>
  <c r="W55" i="239" s="1"/>
  <c r="F53" i="239"/>
  <c r="F54" i="239"/>
  <c r="F55" i="239" s="1"/>
  <c r="F56" i="239"/>
  <c r="W56" i="239" l="1"/>
  <c r="J49" i="239"/>
  <c r="J55" i="239" s="1"/>
  <c r="J56" i="239" s="1"/>
  <c r="I55" i="239"/>
  <c r="I56" i="2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9" authorId="0" shapeId="0" xr:uid="{0A3E2211-9D08-48EA-93EA-0C890959D341}">
      <text>
        <r>
          <rPr>
            <sz val="9"/>
            <color indexed="81"/>
            <rFont val="Tahoma"/>
            <family val="2"/>
          </rPr>
          <t xml:space="preserve">Tasa 12,25%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9" authorId="0" shapeId="0" xr:uid="{0A096940-345C-4729-9BBC-85A90F84B8FB}">
      <text>
        <r>
          <rPr>
            <sz val="9"/>
            <color indexed="81"/>
            <rFont val="Tahoma"/>
            <family val="2"/>
          </rPr>
          <t xml:space="preserve">Tasa 12,25%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45" authorId="0" shapeId="0" xr:uid="{BAEFFE03-F466-4831-83EC-2D0D205B4002}">
      <text>
        <r>
          <rPr>
            <sz val="9"/>
            <color indexed="81"/>
            <rFont val="Tahoma"/>
            <family val="2"/>
          </rPr>
          <t xml:space="preserve">Tasa 12,25%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42" authorId="0" shapeId="0" xr:uid="{C3FCD316-4454-4812-8A1B-C7C4BCE0A009}">
      <text>
        <r>
          <rPr>
            <sz val="9"/>
            <color indexed="81"/>
            <rFont val="Tahoma"/>
            <family val="2"/>
          </rPr>
          <t xml:space="preserve">Tasa 12,25%
</t>
        </r>
      </text>
    </comment>
  </commentList>
</comments>
</file>

<file path=xl/sharedStrings.xml><?xml version="1.0" encoding="utf-8"?>
<sst xmlns="http://schemas.openxmlformats.org/spreadsheetml/2006/main" count="562" uniqueCount="99">
  <si>
    <t>Cliente</t>
  </si>
  <si>
    <t>Iva</t>
  </si>
  <si>
    <t>Total</t>
  </si>
  <si>
    <t>LIBRO DE VENTAS</t>
  </si>
  <si>
    <t>Proveedor</t>
  </si>
  <si>
    <t>Rut</t>
  </si>
  <si>
    <t>LIBRO DE COMPRAS</t>
  </si>
  <si>
    <t>RETENCION DE SEGUNDA CATEGORIA</t>
  </si>
  <si>
    <t>Prestador</t>
  </si>
  <si>
    <t>Bruto</t>
  </si>
  <si>
    <t>Líquido</t>
  </si>
  <si>
    <t>*</t>
  </si>
  <si>
    <t>PPM</t>
  </si>
  <si>
    <t>Iva Ventas</t>
  </si>
  <si>
    <t>Iva Compras</t>
  </si>
  <si>
    <t>Iva a Pagar</t>
  </si>
  <si>
    <t>Total Libro de Ventas</t>
  </si>
  <si>
    <t>Total Libro de Compras</t>
  </si>
  <si>
    <t>Total Rentención 2° Categoría</t>
  </si>
  <si>
    <t>Total a Pagar</t>
  </si>
  <si>
    <t>Impuesto Final con PPM</t>
  </si>
  <si>
    <t>Porcentaje  Final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</si>
  <si>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</si>
  <si>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</si>
  <si>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</si>
  <si>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</si>
  <si>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</si>
  <si>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</si>
  <si>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</si>
  <si>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</si>
  <si>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</si>
  <si>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</si>
  <si>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</si>
  <si>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</si>
  <si>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Retenciones</t>
  </si>
  <si>
    <t>Exenta</t>
  </si>
  <si>
    <t>Acumulado</t>
  </si>
  <si>
    <t>Día</t>
  </si>
  <si>
    <t>Mes</t>
  </si>
  <si>
    <t>Año</t>
  </si>
  <si>
    <t>Fecha Emisión</t>
  </si>
  <si>
    <t>Cant</t>
  </si>
  <si>
    <t>Doc</t>
  </si>
  <si>
    <t>N° de Boleta</t>
  </si>
  <si>
    <t>RESUMEN COMPRAS, VENTAS, RETENCIONES, REMANENTES Y PPM</t>
  </si>
  <si>
    <t>NC Ventas</t>
  </si>
  <si>
    <t>NC compras</t>
  </si>
  <si>
    <t>Ingreso Neto</t>
  </si>
  <si>
    <t>Total Notas de Crédito de Compra</t>
  </si>
  <si>
    <t>Total Facturas de Compra</t>
  </si>
  <si>
    <t>Total Notas de Crédito de Venta</t>
  </si>
  <si>
    <t>Total Facturas de Venta</t>
  </si>
  <si>
    <t>Afecta</t>
  </si>
  <si>
    <t>Período</t>
  </si>
  <si>
    <t>Promedio</t>
  </si>
  <si>
    <t>VENTAS</t>
  </si>
  <si>
    <t xml:space="preserve">% </t>
  </si>
  <si>
    <t xml:space="preserve">Monto </t>
  </si>
  <si>
    <t>Arriendo</t>
  </si>
  <si>
    <t>Patente</t>
  </si>
  <si>
    <t>Previred</t>
  </si>
  <si>
    <t>Adicional</t>
  </si>
  <si>
    <t>Movilización</t>
  </si>
  <si>
    <t>Subtotal</t>
  </si>
  <si>
    <t>Iva Real sobre Ventas</t>
  </si>
  <si>
    <t>ND Ventas</t>
  </si>
  <si>
    <t>Total Notas de Débito de Venta</t>
  </si>
  <si>
    <t>Remanente Crédito Mes Anterior</t>
  </si>
  <si>
    <t>Adiconal</t>
  </si>
  <si>
    <t>Ret 12,25%</t>
  </si>
  <si>
    <t>Gastos Comu</t>
  </si>
  <si>
    <t>GASTOS SIN FACTURA</t>
  </si>
  <si>
    <t>Dìa</t>
  </si>
  <si>
    <t>Nº Fac/NdC</t>
  </si>
  <si>
    <t>Google Suite</t>
  </si>
  <si>
    <t>HONORARIOS</t>
  </si>
  <si>
    <t>Retención</t>
  </si>
  <si>
    <t>REMUNERACIONES</t>
  </si>
  <si>
    <t>Sueldos</t>
  </si>
  <si>
    <t>FA</t>
  </si>
  <si>
    <t>NC</t>
  </si>
  <si>
    <t>ND</t>
  </si>
  <si>
    <t>BO</t>
  </si>
  <si>
    <t xml:space="preserve"> Crédito o Débito</t>
  </si>
  <si>
    <t>N° Factura o Nota</t>
  </si>
  <si>
    <t>COMPRAS CON FACTURA</t>
  </si>
  <si>
    <t>RESUMEN SEPTIEMBRE 2022</t>
  </si>
  <si>
    <t>SEPTIEMBRE</t>
  </si>
  <si>
    <t>Creativa Datacenter SPA</t>
  </si>
  <si>
    <t>Virtual Pyme SPA</t>
  </si>
  <si>
    <t>Renta Nacional Cía. Seguros Generales S. A.</t>
  </si>
  <si>
    <t>RESUMEN OCTUBRE 2022</t>
  </si>
  <si>
    <t>OCTUBRE</t>
  </si>
  <si>
    <t>RESUMEN NOVIEMBRE 2022</t>
  </si>
  <si>
    <t>NOVIEMBRE</t>
  </si>
  <si>
    <t>Renta Nacional Compañía De Seguros Generales S. A.</t>
  </si>
  <si>
    <t>DICIEMBRE</t>
  </si>
  <si>
    <t>RESUMEN DICIEMBRE 2022</t>
  </si>
  <si>
    <t>BRZOVIC CABRERA LTDA. - RUT 77.605.036-9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</si>
</sst>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\-yyyy"/>
    <numFmt numFmtId="165" formatCode="00"/>
    <numFmt numFmtId="166" formatCode="000"/>
    <numFmt numFmtId="167" formatCode="dd\-mm\-yy"/>
    <numFmt numFmtId="168" formatCode="00,000,000"/>
    <numFmt numFmtId="169" formatCode="0000"/>
    <numFmt numFmtId="170" formatCode="0.000%"/>
  </numFmts>
  <fonts count="16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indexed="14"/>
      <name val="Calibri"/>
      <family val="2"/>
    </font>
    <font>
      <b/>
      <sz val="8"/>
      <color indexed="12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8"/>
      <color rgb="FF0000FF"/>
      <name val="Calibri"/>
      <family val="2"/>
    </font>
    <font>
      <b/>
      <sz val="8"/>
      <color rgb="FF0000FF"/>
      <name val="Calibri"/>
      <family val="2"/>
    </font>
    <font>
      <sz val="8"/>
      <color theme="1"/>
      <name val="Calibri"/>
      <family val="2"/>
    </font>
    <font>
      <b/>
      <sz val="8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5">
    <xf numFmtId="0" fontId="0" fillId="0" borderId="0" xfId="0"/>
    <xf numFmtId="165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/>
    <xf numFmtId="168" fontId="3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right"/>
    </xf>
    <xf numFmtId="0" fontId="4" fillId="6" borderId="0" xfId="0" applyFont="1" applyFill="1"/>
    <xf numFmtId="168" fontId="4" fillId="6" borderId="0" xfId="0" applyNumberFormat="1" applyFont="1" applyFill="1" applyAlignment="1">
      <alignment horizontal="center"/>
    </xf>
    <xf numFmtId="169" fontId="3" fillId="6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right"/>
    </xf>
    <xf numFmtId="0" fontId="5" fillId="6" borderId="0" xfId="0" applyFont="1" applyFill="1"/>
    <xf numFmtId="168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3" fontId="7" fillId="0" borderId="0" xfId="0" applyNumberFormat="1" applyFont="1"/>
    <xf numFmtId="165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4" fontId="9" fillId="2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3" fontId="7" fillId="6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165" fontId="10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3" fontId="10" fillId="2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1" fillId="0" borderId="0" xfId="0" applyFont="1"/>
    <xf numFmtId="3" fontId="11" fillId="0" borderId="0" xfId="0" applyNumberFormat="1" applyFont="1" applyAlignment="1">
      <alignment horizontal="right"/>
    </xf>
    <xf numFmtId="165" fontId="12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166" fontId="12" fillId="6" borderId="0" xfId="0" applyNumberFormat="1" applyFont="1" applyFill="1" applyAlignment="1">
      <alignment horizontal="center"/>
    </xf>
    <xf numFmtId="0" fontId="12" fillId="6" borderId="0" xfId="0" applyFont="1" applyFill="1"/>
    <xf numFmtId="3" fontId="12" fillId="6" borderId="0" xfId="0" applyNumberFormat="1" applyFont="1" applyFill="1" applyAlignment="1">
      <alignment horizontal="right"/>
    </xf>
    <xf numFmtId="165" fontId="13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right"/>
    </xf>
    <xf numFmtId="165" fontId="9" fillId="14" borderId="0" xfId="0" applyNumberFormat="1" applyFont="1" applyFill="1" applyAlignment="1">
      <alignment horizontal="left"/>
    </xf>
    <xf numFmtId="164" fontId="9" fillId="14" borderId="0" xfId="0" applyNumberFormat="1" applyFont="1" applyFill="1" applyAlignment="1">
      <alignment horizontal="center"/>
    </xf>
    <xf numFmtId="0" fontId="6" fillId="14" borderId="0" xfId="0" applyFont="1" applyFill="1"/>
    <xf numFmtId="0" fontId="6" fillId="14" borderId="0" xfId="0" applyFont="1" applyFill="1" applyAlignment="1">
      <alignment horizontal="center"/>
    </xf>
    <xf numFmtId="3" fontId="13" fillId="14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165" fontId="8" fillId="7" borderId="0" xfId="0" applyNumberFormat="1" applyFont="1" applyFill="1" applyAlignment="1">
      <alignment horizontal="left"/>
    </xf>
    <xf numFmtId="164" fontId="7" fillId="7" borderId="0" xfId="0" applyNumberFormat="1" applyFont="1" applyFill="1" applyAlignment="1">
      <alignment horizontal="center"/>
    </xf>
    <xf numFmtId="0" fontId="7" fillId="7" borderId="0" xfId="0" applyFont="1" applyFill="1"/>
    <xf numFmtId="3" fontId="7" fillId="0" borderId="0" xfId="0" applyNumberFormat="1" applyFont="1" applyAlignment="1">
      <alignment horizontal="right"/>
    </xf>
    <xf numFmtId="0" fontId="9" fillId="7" borderId="0" xfId="0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center"/>
    </xf>
    <xf numFmtId="165" fontId="7" fillId="7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168" fontId="7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/>
    </xf>
    <xf numFmtId="3" fontId="14" fillId="7" borderId="0" xfId="0" applyNumberFormat="1" applyFont="1" applyFill="1" applyAlignment="1">
      <alignment horizontal="right" wrapText="1"/>
    </xf>
    <xf numFmtId="0" fontId="14" fillId="7" borderId="0" xfId="0" applyFont="1" applyFill="1" applyAlignment="1">
      <alignment horizontal="center" wrapText="1"/>
    </xf>
    <xf numFmtId="167" fontId="6" fillId="0" borderId="0" xfId="0" applyNumberFormat="1" applyFont="1" applyAlignment="1">
      <alignment horizontal="center"/>
    </xf>
    <xf numFmtId="165" fontId="10" fillId="7" borderId="0" xfId="0" applyNumberFormat="1" applyFont="1" applyFill="1" applyAlignment="1">
      <alignment horizontal="center"/>
    </xf>
    <xf numFmtId="167" fontId="10" fillId="7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/>
    <xf numFmtId="0" fontId="10" fillId="7" borderId="0" xfId="0" applyFont="1" applyFill="1" applyAlignment="1">
      <alignment horizontal="left"/>
    </xf>
    <xf numFmtId="168" fontId="10" fillId="7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horizontal="right" vertical="center"/>
    </xf>
    <xf numFmtId="3" fontId="10" fillId="7" borderId="0" xfId="0" applyNumberFormat="1" applyFont="1" applyFill="1" applyAlignment="1">
      <alignment horizontal="right"/>
    </xf>
    <xf numFmtId="167" fontId="11" fillId="0" borderId="0" xfId="0" applyNumberFormat="1" applyFont="1" applyAlignment="1">
      <alignment horizontal="center"/>
    </xf>
    <xf numFmtId="165" fontId="9" fillId="7" borderId="0" xfId="0" applyNumberFormat="1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3" fontId="9" fillId="7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center"/>
    </xf>
    <xf numFmtId="3" fontId="6" fillId="10" borderId="0" xfId="0" applyNumberFormat="1" applyFont="1" applyFill="1"/>
    <xf numFmtId="0" fontId="6" fillId="9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left"/>
    </xf>
    <xf numFmtId="3" fontId="6" fillId="9" borderId="0" xfId="0" applyNumberFormat="1" applyFont="1" applyFill="1" applyAlignment="1">
      <alignment horizontal="center"/>
    </xf>
    <xf numFmtId="0" fontId="7" fillId="9" borderId="0" xfId="0" applyFont="1" applyFill="1"/>
    <xf numFmtId="3" fontId="6" fillId="13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3" fontId="6" fillId="11" borderId="0" xfId="0" applyNumberFormat="1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10" fontId="6" fillId="12" borderId="0" xfId="0" applyNumberFormat="1" applyFont="1" applyFill="1" applyAlignment="1">
      <alignment horizontal="center"/>
    </xf>
    <xf numFmtId="3" fontId="6" fillId="12" borderId="0" xfId="0" applyNumberFormat="1" applyFont="1" applyFill="1" applyAlignment="1">
      <alignment horizontal="center"/>
    </xf>
    <xf numFmtId="3" fontId="7" fillId="9" borderId="0" xfId="0" applyNumberFormat="1" applyFont="1" applyFill="1"/>
    <xf numFmtId="10" fontId="7" fillId="13" borderId="0" xfId="0" applyNumberFormat="1" applyFont="1" applyFill="1"/>
    <xf numFmtId="3" fontId="7" fillId="13" borderId="0" xfId="0" applyNumberFormat="1" applyFont="1" applyFill="1"/>
    <xf numFmtId="3" fontId="7" fillId="11" borderId="0" xfId="0" applyNumberFormat="1" applyFont="1" applyFill="1"/>
    <xf numFmtId="3" fontId="7" fillId="11" borderId="0" xfId="0" applyNumberFormat="1" applyFont="1" applyFill="1" applyAlignment="1">
      <alignment horizontal="right"/>
    </xf>
    <xf numFmtId="3" fontId="7" fillId="12" borderId="0" xfId="0" applyNumberFormat="1" applyFont="1" applyFill="1"/>
    <xf numFmtId="164" fontId="15" fillId="3" borderId="0" xfId="0" applyNumberFormat="1" applyFont="1" applyFill="1" applyAlignment="1">
      <alignment horizontal="left"/>
    </xf>
    <xf numFmtId="3" fontId="15" fillId="10" borderId="0" xfId="0" applyNumberFormat="1" applyFont="1" applyFill="1"/>
    <xf numFmtId="164" fontId="13" fillId="3" borderId="0" xfId="0" applyNumberFormat="1" applyFont="1" applyFill="1" applyAlignment="1">
      <alignment horizontal="left"/>
    </xf>
    <xf numFmtId="3" fontId="13" fillId="3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right"/>
    </xf>
    <xf numFmtId="10" fontId="6" fillId="10" borderId="0" xfId="0" applyNumberFormat="1" applyFont="1" applyFill="1" applyAlignment="1">
      <alignment horizontal="left"/>
    </xf>
    <xf numFmtId="164" fontId="11" fillId="3" borderId="0" xfId="0" applyNumberFormat="1" applyFont="1" applyFill="1" applyAlignment="1">
      <alignment horizontal="left"/>
    </xf>
    <xf numFmtId="164" fontId="9" fillId="3" borderId="0" xfId="0" applyNumberFormat="1" applyFont="1" applyFill="1" applyAlignment="1">
      <alignment horizontal="left"/>
    </xf>
    <xf numFmtId="3" fontId="11" fillId="10" borderId="0" xfId="0" applyNumberFormat="1" applyFont="1" applyFill="1"/>
    <xf numFmtId="3" fontId="13" fillId="10" borderId="0" xfId="0" applyNumberFormat="1" applyFont="1" applyFill="1"/>
    <xf numFmtId="165" fontId="6" fillId="5" borderId="0" xfId="0" applyNumberFormat="1" applyFont="1" applyFill="1" applyAlignment="1">
      <alignment horizontal="left"/>
    </xf>
    <xf numFmtId="164" fontId="6" fillId="5" borderId="0" xfId="0" applyNumberFormat="1" applyFont="1" applyFill="1" applyAlignment="1">
      <alignment horizontal="center"/>
    </xf>
    <xf numFmtId="3" fontId="6" fillId="5" borderId="0" xfId="0" applyNumberFormat="1" applyFont="1" applyFill="1"/>
    <xf numFmtId="10" fontId="6" fillId="5" borderId="0" xfId="0" applyNumberFormat="1" applyFont="1" applyFill="1"/>
    <xf numFmtId="0" fontId="6" fillId="9" borderId="0" xfId="0" applyFont="1" applyFill="1"/>
    <xf numFmtId="3" fontId="6" fillId="9" borderId="0" xfId="0" applyNumberFormat="1" applyFont="1" applyFill="1"/>
    <xf numFmtId="3" fontId="6" fillId="13" borderId="0" xfId="0" applyNumberFormat="1" applyFont="1" applyFill="1"/>
    <xf numFmtId="3" fontId="6" fillId="11" borderId="0" xfId="0" applyNumberFormat="1" applyFont="1" applyFill="1"/>
    <xf numFmtId="3" fontId="6" fillId="12" borderId="0" xfId="0" applyNumberFormat="1" applyFont="1" applyFill="1"/>
    <xf numFmtId="165" fontId="6" fillId="4" borderId="0" xfId="0" applyNumberFormat="1" applyFont="1" applyFill="1" applyAlignment="1">
      <alignment horizontal="left"/>
    </xf>
    <xf numFmtId="164" fontId="7" fillId="4" borderId="0" xfId="0" applyNumberFormat="1" applyFont="1" applyFill="1" applyAlignment="1">
      <alignment horizontal="center"/>
    </xf>
    <xf numFmtId="10" fontId="6" fillId="4" borderId="0" xfId="0" applyNumberFormat="1" applyFont="1" applyFill="1"/>
    <xf numFmtId="0" fontId="10" fillId="0" borderId="0" xfId="0" applyFont="1"/>
    <xf numFmtId="0" fontId="6" fillId="8" borderId="0" xfId="0" applyFont="1" applyFill="1" applyAlignment="1">
      <alignment horizontal="center"/>
    </xf>
    <xf numFmtId="3" fontId="7" fillId="8" borderId="0" xfId="0" applyNumberFormat="1" applyFont="1" applyFill="1"/>
    <xf numFmtId="3" fontId="6" fillId="8" borderId="0" xfId="0" applyNumberFormat="1" applyFont="1" applyFill="1"/>
    <xf numFmtId="165" fontId="8" fillId="15" borderId="0" xfId="0" applyNumberFormat="1" applyFont="1" applyFill="1" applyAlignment="1">
      <alignment horizontal="left"/>
    </xf>
    <xf numFmtId="164" fontId="7" fillId="15" borderId="0" xfId="0" applyNumberFormat="1" applyFont="1" applyFill="1" applyAlignment="1">
      <alignment horizontal="center"/>
    </xf>
    <xf numFmtId="0" fontId="7" fillId="15" borderId="0" xfId="0" applyFont="1" applyFill="1"/>
    <xf numFmtId="0" fontId="9" fillId="15" borderId="0" xfId="0" applyFont="1" applyFill="1" applyAlignment="1">
      <alignment horizontal="center" vertical="center"/>
    </xf>
    <xf numFmtId="164" fontId="9" fillId="15" borderId="0" xfId="0" applyNumberFormat="1" applyFont="1" applyFill="1" applyAlignment="1">
      <alignment horizontal="center"/>
    </xf>
    <xf numFmtId="165" fontId="7" fillId="15" borderId="0" xfId="0" applyNumberFormat="1" applyFont="1" applyFill="1" applyAlignment="1">
      <alignment horizontal="center" vertical="center"/>
    </xf>
    <xf numFmtId="165" fontId="7" fillId="15" borderId="0" xfId="0" applyNumberFormat="1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166" fontId="7" fillId="15" borderId="0" xfId="0" applyNumberFormat="1" applyFont="1" applyFill="1" applyAlignment="1">
      <alignment horizontal="center"/>
    </xf>
    <xf numFmtId="165" fontId="9" fillId="15" borderId="0" xfId="0" applyNumberFormat="1" applyFont="1" applyFill="1" applyAlignment="1">
      <alignment horizontal="left"/>
    </xf>
    <xf numFmtId="0" fontId="9" fillId="15" borderId="0" xfId="0" applyFont="1" applyFill="1" applyAlignment="1">
      <alignment horizontal="center"/>
    </xf>
    <xf numFmtId="0" fontId="9" fillId="15" borderId="0" xfId="0" applyFont="1" applyFill="1"/>
    <xf numFmtId="0" fontId="7" fillId="15" borderId="0" xfId="0" applyFont="1" applyFill="1" applyAlignment="1">
      <alignment horizontal="left"/>
    </xf>
    <xf numFmtId="0" fontId="7" fillId="15" borderId="0" xfId="0" applyFont="1" applyFill="1" applyAlignment="1">
      <alignment horizontal="left" vertical="center"/>
    </xf>
    <xf numFmtId="168" fontId="7" fillId="15" borderId="0" xfId="0" applyNumberFormat="1" applyFont="1" applyFill="1" applyAlignment="1">
      <alignment horizontal="center"/>
    </xf>
    <xf numFmtId="3" fontId="7" fillId="15" borderId="0" xfId="0" applyNumberFormat="1" applyFont="1" applyFill="1" applyAlignment="1">
      <alignment vertical="center"/>
    </xf>
    <xf numFmtId="3" fontId="7" fillId="15" borderId="0" xfId="0" applyNumberFormat="1" applyFont="1" applyFill="1"/>
    <xf numFmtId="3" fontId="9" fillId="15" borderId="0" xfId="0" applyNumberFormat="1" applyFont="1" applyFill="1" applyAlignment="1">
      <alignment horizontal="center"/>
    </xf>
    <xf numFmtId="3" fontId="9" fillId="15" borderId="0" xfId="0" applyNumberFormat="1" applyFont="1" applyFill="1" applyAlignment="1">
      <alignment horizontal="right"/>
    </xf>
    <xf numFmtId="10" fontId="6" fillId="13" borderId="0" xfId="0" applyNumberFormat="1" applyFont="1" applyFill="1"/>
    <xf numFmtId="0" fontId="13" fillId="9" borderId="0" xfId="0" applyFont="1" applyFill="1"/>
    <xf numFmtId="3" fontId="13" fillId="9" borderId="0" xfId="0" applyNumberFormat="1" applyFont="1" applyFill="1"/>
    <xf numFmtId="10" fontId="13" fillId="13" borderId="0" xfId="0" applyNumberFormat="1" applyFont="1" applyFill="1"/>
    <xf numFmtId="3" fontId="13" fillId="13" borderId="0" xfId="0" applyNumberFormat="1" applyFont="1" applyFill="1"/>
    <xf numFmtId="3" fontId="13" fillId="11" borderId="0" xfId="0" applyNumberFormat="1" applyFont="1" applyFill="1"/>
    <xf numFmtId="3" fontId="13" fillId="12" borderId="0" xfId="0" applyNumberFormat="1" applyFont="1" applyFill="1"/>
    <xf numFmtId="3" fontId="13" fillId="8" borderId="0" xfId="0" applyNumberFormat="1" applyFont="1" applyFill="1"/>
    <xf numFmtId="3" fontId="6" fillId="0" borderId="0" xfId="0" applyNumberFormat="1" applyFont="1" applyAlignment="1">
      <alignment horizontal="center"/>
    </xf>
    <xf numFmtId="170" fontId="10" fillId="0" borderId="0" xfId="0" applyNumberFormat="1" applyFont="1"/>
    <xf numFmtId="170" fontId="11" fillId="0" borderId="0" xfId="0" applyNumberFormat="1" applyFont="1"/>
    <xf numFmtId="170" fontId="6" fillId="0" borderId="0" xfId="0" applyNumberFormat="1" applyFont="1"/>
    <xf numFmtId="170" fontId="7" fillId="0" borderId="0" xfId="0" applyNumberFormat="1" applyFont="1"/>
    <xf numFmtId="0" fontId="6" fillId="7" borderId="0" xfId="0" applyFont="1" applyFill="1" applyAlignment="1">
      <alignment horizontal="center"/>
    </xf>
    <xf numFmtId="3" fontId="7" fillId="7" borderId="0" xfId="0" applyNumberFormat="1" applyFont="1" applyFill="1"/>
    <xf numFmtId="3" fontId="6" fillId="7" borderId="0" xfId="0" applyNumberFormat="1" applyFont="1" applyFill="1"/>
    <xf numFmtId="3" fontId="13" fillId="7" borderId="0" xfId="0" applyNumberFormat="1" applyFont="1" applyFill="1"/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right" vertical="center"/>
    </xf>
    <xf numFmtId="10" fontId="7" fillId="0" borderId="0" xfId="0" applyNumberFormat="1" applyFont="1"/>
    <xf numFmtId="3" fontId="7" fillId="0" borderId="0" xfId="0" applyNumberFormat="1" applyFont="1" applyAlignment="1">
      <alignment horizontal="center"/>
    </xf>
    <xf numFmtId="169" fontId="7" fillId="6" borderId="0" xfId="0" applyNumberFormat="1" applyFont="1" applyFill="1" applyAlignment="1">
      <alignment horizontal="center"/>
    </xf>
    <xf numFmtId="168" fontId="7" fillId="6" borderId="0" xfId="0" applyNumberFormat="1" applyFont="1" applyFill="1" applyAlignment="1">
      <alignment horizontal="center"/>
    </xf>
    <xf numFmtId="168" fontId="10" fillId="6" borderId="0" xfId="0" applyNumberFormat="1" applyFont="1" applyFill="1" applyAlignment="1">
      <alignment horizontal="center"/>
    </xf>
    <xf numFmtId="3" fontId="10" fillId="6" borderId="0" xfId="0" applyNumberFormat="1" applyFont="1" applyFill="1" applyAlignment="1">
      <alignment horizontal="right"/>
    </xf>
    <xf numFmtId="168" fontId="12" fillId="6" borderId="0" xfId="0" applyNumberFormat="1" applyFont="1" applyFill="1" applyAlignment="1">
      <alignment horizontal="center"/>
    </xf>
    <xf numFmtId="3" fontId="13" fillId="0" borderId="0" xfId="0" applyNumberFormat="1" applyFont="1"/>
    <xf numFmtId="164" fontId="12" fillId="0" borderId="0" xfId="0" applyNumberFormat="1" applyFont="1" applyAlignment="1">
      <alignment horizontal="center"/>
    </xf>
    <xf numFmtId="3" fontId="12" fillId="0" borderId="0" xfId="0" applyNumberFormat="1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  <color rgb="FFCCFFCC"/>
      <color rgb="FFFFFFCC"/>
      <color rgb="FFE0E0E0"/>
      <color rgb="FFFFFF99"/>
      <color rgb="FFCCFF99"/>
      <color rgb="FFCCFFFF"/>
      <color rgb="FFFF00FF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9678-46D9-4610-BE24-667AEB7EACDC}">
  <dimension ref="A1:AK56"/>
  <sheetViews>
    <sheetView tabSelected="1" zoomScale="117" zoomScaleNormal="117" workbookViewId="0">
      <pane ySplit="4" topLeftCell="A17" activePane="bottomLeft" state="frozen"/>
      <selection pane="bottomLeft" activeCell="H51" sqref="H51"/>
    </sheetView>
  </sheetViews>
  <sheetFormatPr baseColWidth="10" defaultColWidth="11.42578125" defaultRowHeight="11.25" x14ac:dyDescent="0.2"/>
  <cols>
    <col min="1" max="3" width="3.7109375" style="15" customWidth="1"/>
    <col min="4" max="4" width="5.7109375" style="15" customWidth="1"/>
    <col min="5" max="5" width="3.7109375" style="15" customWidth="1"/>
    <col min="6" max="10" width="9.28515625" style="15" customWidth="1"/>
    <col min="11" max="11" width="1.7109375" style="15" customWidth="1"/>
    <col min="12" max="17" width="9.28515625" style="15" customWidth="1"/>
    <col min="18" max="18" width="9.28515625" style="17" customWidth="1"/>
    <col min="19" max="28" width="9.28515625" style="15" customWidth="1"/>
    <col min="29" max="16384" width="11.42578125" style="15"/>
  </cols>
  <sheetData>
    <row r="1" spans="1:28" s="17" customFormat="1" x14ac:dyDescent="0.2">
      <c r="A1" s="189" t="s">
        <v>98</v>
      </c>
      <c r="B1" s="190"/>
      <c r="C1" s="190"/>
      <c r="D1" s="190"/>
      <c r="E1" s="191"/>
      <c r="F1" s="191"/>
      <c r="G1" s="50" t="s">
        <v>44</v>
      </c>
      <c r="H1" s="63"/>
      <c r="I1" s="191"/>
      <c r="J1" s="191"/>
      <c r="K1" s="192"/>
      <c r="L1" s="191"/>
      <c r="M1" s="193" t="s">
        <v>96</v>
      </c>
      <c r="N1" s="192">
        <v>2022</v>
      </c>
      <c r="O1" s="16"/>
      <c r="P1" s="16"/>
      <c r="Q1" s="16"/>
    </row>
    <row r="2" spans="1:28" s="17" customFormat="1" x14ac:dyDescent="0.2">
      <c r="A2" s="18" t="s">
        <v>3</v>
      </c>
      <c r="B2" s="19"/>
      <c r="C2" s="19"/>
      <c r="D2" s="19"/>
      <c r="E2" s="19"/>
      <c r="F2" s="20"/>
      <c r="G2" s="15"/>
      <c r="H2" s="15"/>
      <c r="I2" s="15"/>
      <c r="J2" s="21"/>
      <c r="K2" s="21"/>
      <c r="L2" s="16"/>
      <c r="M2" s="16"/>
      <c r="N2" s="16"/>
      <c r="O2" s="16"/>
      <c r="P2" s="16"/>
      <c r="Q2" s="16"/>
    </row>
    <row r="3" spans="1:28" s="17" customFormat="1" x14ac:dyDescent="0.2">
      <c r="A3" s="22" t="s">
        <v>41</v>
      </c>
      <c r="B3" s="194" t="s">
        <v>40</v>
      </c>
      <c r="C3" s="194"/>
      <c r="D3" s="194"/>
      <c r="E3" s="195" t="s">
        <v>84</v>
      </c>
      <c r="F3" s="195"/>
      <c r="G3" s="23"/>
      <c r="H3" s="23"/>
      <c r="I3" s="23"/>
      <c r="J3" s="23"/>
      <c r="K3" s="23"/>
      <c r="L3" s="24"/>
      <c r="M3" s="24"/>
      <c r="N3" s="24"/>
      <c r="O3" s="24"/>
      <c r="P3" s="24"/>
      <c r="Q3" s="24"/>
    </row>
    <row r="4" spans="1:28" s="17" customFormat="1" x14ac:dyDescent="0.2">
      <c r="A4" s="22" t="s">
        <v>42</v>
      </c>
      <c r="B4" s="25" t="s">
        <v>37</v>
      </c>
      <c r="C4" s="25" t="s">
        <v>38</v>
      </c>
      <c r="D4" s="25" t="s">
        <v>39</v>
      </c>
      <c r="E4" s="195" t="s">
        <v>83</v>
      </c>
      <c r="F4" s="195"/>
      <c r="G4" s="22"/>
      <c r="H4" s="22" t="s">
        <v>0</v>
      </c>
      <c r="I4" s="22"/>
      <c r="J4" s="22" t="s">
        <v>5</v>
      </c>
      <c r="K4" s="22"/>
      <c r="L4" s="22" t="s">
        <v>52</v>
      </c>
      <c r="M4" s="22" t="s">
        <v>1</v>
      </c>
      <c r="N4" s="22" t="s">
        <v>2</v>
      </c>
      <c r="O4" s="15"/>
      <c r="P4" s="15"/>
      <c r="Q4" s="15"/>
    </row>
    <row r="5" spans="1:28" s="17" customFormat="1" x14ac:dyDescent="0.2">
      <c r="A5" s="26">
        <v>1</v>
      </c>
      <c r="B5" s="26"/>
      <c r="C5" s="26">
        <v>12</v>
      </c>
      <c r="D5" s="27">
        <v>2022</v>
      </c>
      <c r="E5" s="27" t="s">
        <v>79</v>
      </c>
      <c r="F5" s="184"/>
      <c r="G5" s="28"/>
      <c r="H5" s="28"/>
      <c r="I5" s="28"/>
      <c r="J5" s="185"/>
      <c r="K5" s="27"/>
      <c r="L5" s="29"/>
      <c r="M5" s="29">
        <f t="shared" ref="M5:M10" si="0">ROUND((L5*19%),0)</f>
        <v>0</v>
      </c>
      <c r="N5" s="29">
        <f>ROUND((L5+M5),0)</f>
        <v>0</v>
      </c>
      <c r="O5" s="15"/>
      <c r="P5" s="15"/>
      <c r="Q5" s="15"/>
    </row>
    <row r="6" spans="1:28" s="17" customFormat="1" x14ac:dyDescent="0.2">
      <c r="A6" s="26">
        <v>2</v>
      </c>
      <c r="B6" s="26"/>
      <c r="C6" s="26">
        <v>12</v>
      </c>
      <c r="D6" s="27">
        <v>2022</v>
      </c>
      <c r="E6" s="27" t="s">
        <v>79</v>
      </c>
      <c r="F6" s="184"/>
      <c r="G6" s="28"/>
      <c r="H6" s="28"/>
      <c r="I6" s="28"/>
      <c r="J6" s="185"/>
      <c r="K6" s="27"/>
      <c r="L6" s="29"/>
      <c r="M6" s="29">
        <f t="shared" si="0"/>
        <v>0</v>
      </c>
      <c r="N6" s="29">
        <f t="shared" ref="N6:N10" si="1">ROUND((L6+M6),0)</f>
        <v>0</v>
      </c>
      <c r="O6" s="15"/>
      <c r="P6" s="15"/>
      <c r="Q6" s="15"/>
    </row>
    <row r="7" spans="1:28" s="17" customFormat="1" x14ac:dyDescent="0.2">
      <c r="A7" s="26">
        <v>3</v>
      </c>
      <c r="B7" s="26"/>
      <c r="C7" s="26">
        <v>12</v>
      </c>
      <c r="D7" s="27">
        <v>2022</v>
      </c>
      <c r="E7" s="27" t="s">
        <v>79</v>
      </c>
      <c r="F7" s="184"/>
      <c r="G7" s="28"/>
      <c r="H7" s="28"/>
      <c r="I7" s="28"/>
      <c r="J7" s="185"/>
      <c r="K7" s="27"/>
      <c r="L7" s="29"/>
      <c r="M7" s="29">
        <f t="shared" si="0"/>
        <v>0</v>
      </c>
      <c r="N7" s="29">
        <f t="shared" si="1"/>
        <v>0</v>
      </c>
      <c r="O7" s="15"/>
      <c r="P7" s="15"/>
      <c r="Q7" s="15"/>
      <c r="R7" s="177"/>
      <c r="S7" s="178"/>
      <c r="T7" s="178"/>
      <c r="U7" s="178"/>
      <c r="V7" s="21"/>
    </row>
    <row r="8" spans="1:28" s="17" customFormat="1" x14ac:dyDescent="0.2">
      <c r="A8" s="26">
        <v>4</v>
      </c>
      <c r="B8" s="26"/>
      <c r="C8" s="26">
        <v>12</v>
      </c>
      <c r="D8" s="27">
        <v>2022</v>
      </c>
      <c r="E8" s="27" t="s">
        <v>79</v>
      </c>
      <c r="F8" s="184"/>
      <c r="G8" s="28"/>
      <c r="H8" s="28"/>
      <c r="I8" s="28"/>
      <c r="J8" s="185"/>
      <c r="K8" s="27"/>
      <c r="L8" s="29"/>
      <c r="M8" s="29">
        <f t="shared" si="0"/>
        <v>0</v>
      </c>
      <c r="N8" s="29">
        <f t="shared" si="1"/>
        <v>0</v>
      </c>
      <c r="O8" s="15"/>
      <c r="P8" s="15"/>
      <c r="Q8" s="15"/>
      <c r="R8" s="21"/>
      <c r="S8" s="15"/>
      <c r="T8" s="179"/>
      <c r="U8" s="15"/>
      <c r="V8" s="180"/>
      <c r="W8" s="21"/>
      <c r="X8" s="181"/>
      <c r="Y8" s="181"/>
      <c r="Z8" s="67"/>
      <c r="AA8" s="181"/>
      <c r="AB8" s="181"/>
    </row>
    <row r="9" spans="1:28" s="17" customFormat="1" x14ac:dyDescent="0.2">
      <c r="A9" s="26">
        <v>5</v>
      </c>
      <c r="B9" s="26"/>
      <c r="C9" s="26">
        <v>12</v>
      </c>
      <c r="D9" s="27">
        <v>2022</v>
      </c>
      <c r="E9" s="27" t="s">
        <v>79</v>
      </c>
      <c r="F9" s="184"/>
      <c r="G9" s="28"/>
      <c r="H9" s="28"/>
      <c r="I9" s="28"/>
      <c r="J9" s="185"/>
      <c r="K9" s="27"/>
      <c r="L9" s="29"/>
      <c r="M9" s="29">
        <f t="shared" si="0"/>
        <v>0</v>
      </c>
      <c r="N9" s="29">
        <f t="shared" si="1"/>
        <v>0</v>
      </c>
      <c r="O9" s="15"/>
      <c r="P9" s="15"/>
      <c r="Q9" s="15"/>
    </row>
    <row r="10" spans="1:28" s="17" customFormat="1" x14ac:dyDescent="0.2">
      <c r="A10" s="26">
        <v>6</v>
      </c>
      <c r="B10" s="26"/>
      <c r="C10" s="26">
        <v>12</v>
      </c>
      <c r="D10" s="27">
        <v>2022</v>
      </c>
      <c r="E10" s="27" t="s">
        <v>79</v>
      </c>
      <c r="F10" s="184"/>
      <c r="G10" s="28"/>
      <c r="H10" s="28"/>
      <c r="I10" s="28"/>
      <c r="J10" s="185"/>
      <c r="K10" s="27"/>
      <c r="L10" s="29"/>
      <c r="M10" s="29">
        <f t="shared" si="0"/>
        <v>0</v>
      </c>
      <c r="N10" s="29">
        <f t="shared" si="1"/>
        <v>0</v>
      </c>
      <c r="O10" s="15"/>
      <c r="P10" s="15"/>
      <c r="Q10" s="15"/>
    </row>
    <row r="11" spans="1:28" s="17" customFormat="1" x14ac:dyDescent="0.2">
      <c r="A11" s="14" t="s">
        <v>51</v>
      </c>
      <c r="B11" s="30"/>
      <c r="C11" s="30"/>
      <c r="D11" s="31"/>
      <c r="E11" s="31"/>
      <c r="F11" s="32"/>
      <c r="G11" s="33"/>
      <c r="H11" s="33"/>
      <c r="I11" s="33"/>
      <c r="J11" s="31"/>
      <c r="K11" s="31"/>
      <c r="L11" s="34">
        <f>SUM(L5:L10)</f>
        <v>0</v>
      </c>
      <c r="M11" s="34">
        <f>SUM(M5:M10)</f>
        <v>0</v>
      </c>
      <c r="N11" s="34">
        <f>SUM(N5:N10)</f>
        <v>0</v>
      </c>
      <c r="O11" s="15"/>
      <c r="P11" s="15"/>
    </row>
    <row r="12" spans="1:28" s="17" customFormat="1" x14ac:dyDescent="0.2">
      <c r="A12" s="35">
        <v>1</v>
      </c>
      <c r="B12" s="35"/>
      <c r="C12" s="35">
        <v>12</v>
      </c>
      <c r="D12" s="36">
        <v>2022</v>
      </c>
      <c r="E12" s="36" t="s">
        <v>80</v>
      </c>
      <c r="F12" s="35"/>
      <c r="G12" s="37"/>
      <c r="H12" s="37"/>
      <c r="I12" s="37"/>
      <c r="J12" s="186"/>
      <c r="K12" s="36"/>
      <c r="L12" s="187"/>
      <c r="M12" s="38">
        <f t="shared" ref="M12:M13" si="2">ROUND((L12*19%),0)</f>
        <v>0</v>
      </c>
      <c r="N12" s="38">
        <f>ROUND((L12+M12),0)</f>
        <v>0</v>
      </c>
      <c r="O12" s="15"/>
      <c r="P12" s="15"/>
      <c r="Q12" s="15"/>
    </row>
    <row r="13" spans="1:28" s="17" customFormat="1" x14ac:dyDescent="0.2">
      <c r="A13" s="35">
        <v>2</v>
      </c>
      <c r="B13" s="35"/>
      <c r="C13" s="35">
        <v>12</v>
      </c>
      <c r="D13" s="36">
        <v>2022</v>
      </c>
      <c r="E13" s="36" t="s">
        <v>80</v>
      </c>
      <c r="F13" s="35"/>
      <c r="G13" s="37"/>
      <c r="H13" s="37"/>
      <c r="I13" s="37"/>
      <c r="J13" s="186"/>
      <c r="K13" s="36"/>
      <c r="L13" s="187"/>
      <c r="M13" s="38">
        <f t="shared" si="2"/>
        <v>0</v>
      </c>
      <c r="N13" s="38">
        <f t="shared" ref="N13" si="3">ROUND((L13+M13),0)</f>
        <v>0</v>
      </c>
      <c r="O13" s="15"/>
      <c r="P13" s="15"/>
      <c r="Q13" s="15"/>
    </row>
    <row r="14" spans="1:28" s="17" customFormat="1" x14ac:dyDescent="0.2">
      <c r="A14" s="39" t="s">
        <v>50</v>
      </c>
      <c r="B14" s="40"/>
      <c r="C14" s="40"/>
      <c r="D14" s="41"/>
      <c r="E14" s="41"/>
      <c r="F14" s="42"/>
      <c r="G14" s="43"/>
      <c r="H14" s="43"/>
      <c r="I14" s="43"/>
      <c r="J14" s="41"/>
      <c r="K14" s="41"/>
      <c r="L14" s="44">
        <f>SUM(L12:L13)</f>
        <v>0</v>
      </c>
      <c r="M14" s="44">
        <f>SUM(M12:M13)</f>
        <v>0</v>
      </c>
      <c r="N14" s="44">
        <f>SUM(N12:N13)</f>
        <v>0</v>
      </c>
      <c r="O14" s="43"/>
      <c r="P14" s="43"/>
      <c r="Q14" s="15"/>
      <c r="R14" s="15"/>
      <c r="S14" s="15"/>
    </row>
    <row r="15" spans="1:28" s="17" customFormat="1" x14ac:dyDescent="0.2">
      <c r="A15" s="45">
        <v>1</v>
      </c>
      <c r="B15" s="45"/>
      <c r="C15" s="45">
        <v>12</v>
      </c>
      <c r="D15" s="46">
        <v>2022</v>
      </c>
      <c r="E15" s="46" t="s">
        <v>81</v>
      </c>
      <c r="F15" s="47"/>
      <c r="G15" s="48"/>
      <c r="H15" s="48"/>
      <c r="I15" s="48"/>
      <c r="J15" s="188"/>
      <c r="K15" s="46"/>
      <c r="L15" s="49"/>
      <c r="M15" s="49">
        <f t="shared" ref="M15:M16" si="4">ROUND((L15*19%),0)</f>
        <v>0</v>
      </c>
      <c r="N15" s="49">
        <f t="shared" ref="N15:N16" si="5">SUM(L15:M15)</f>
        <v>0</v>
      </c>
      <c r="O15" s="43"/>
      <c r="P15" s="43"/>
      <c r="R15" s="15"/>
    </row>
    <row r="16" spans="1:28" s="17" customFormat="1" x14ac:dyDescent="0.2">
      <c r="A16" s="45">
        <v>2</v>
      </c>
      <c r="B16" s="45"/>
      <c r="C16" s="45">
        <v>12</v>
      </c>
      <c r="D16" s="46">
        <v>2022</v>
      </c>
      <c r="E16" s="46" t="s">
        <v>81</v>
      </c>
      <c r="F16" s="47"/>
      <c r="G16" s="48"/>
      <c r="H16" s="48"/>
      <c r="I16" s="48"/>
      <c r="J16" s="46"/>
      <c r="K16" s="46"/>
      <c r="L16" s="49"/>
      <c r="M16" s="49">
        <f t="shared" si="4"/>
        <v>0</v>
      </c>
      <c r="N16" s="49">
        <f t="shared" si="5"/>
        <v>0</v>
      </c>
      <c r="O16" s="43"/>
      <c r="P16" s="43"/>
      <c r="Q16" s="15"/>
    </row>
    <row r="17" spans="1:37" s="17" customFormat="1" x14ac:dyDescent="0.2">
      <c r="A17" s="50" t="s">
        <v>66</v>
      </c>
      <c r="B17" s="51"/>
      <c r="C17" s="51"/>
      <c r="D17" s="52"/>
      <c r="E17" s="52"/>
      <c r="F17" s="53"/>
      <c r="G17" s="54"/>
      <c r="H17" s="54"/>
      <c r="I17" s="54"/>
      <c r="J17" s="52"/>
      <c r="K17" s="52"/>
      <c r="L17" s="55">
        <f>SUM(L15:L16)</f>
        <v>0</v>
      </c>
      <c r="M17" s="55">
        <f t="shared" ref="M17:N17" si="6">SUM(M15:M16)</f>
        <v>0</v>
      </c>
      <c r="N17" s="55">
        <f t="shared" si="6"/>
        <v>0</v>
      </c>
      <c r="O17" s="43"/>
      <c r="P17" s="43"/>
      <c r="Q17" s="15"/>
    </row>
    <row r="18" spans="1:37" s="17" customFormat="1" x14ac:dyDescent="0.2">
      <c r="A18" s="56" t="s">
        <v>16</v>
      </c>
      <c r="B18" s="57"/>
      <c r="C18" s="57"/>
      <c r="D18" s="57"/>
      <c r="E18" s="57"/>
      <c r="F18" s="58"/>
      <c r="G18" s="58"/>
      <c r="H18" s="58"/>
      <c r="I18" s="58"/>
      <c r="J18" s="59"/>
      <c r="K18" s="59"/>
      <c r="L18" s="60">
        <f>+L11+L14+L17</f>
        <v>0</v>
      </c>
      <c r="M18" s="60">
        <f>+M11+M14+M17</f>
        <v>0</v>
      </c>
      <c r="N18" s="60">
        <f>+N11+N14+N17</f>
        <v>0</v>
      </c>
      <c r="O18" s="15"/>
      <c r="P18" s="15"/>
      <c r="Q18" s="15"/>
      <c r="S18" s="61"/>
      <c r="T18" s="62"/>
      <c r="U18" s="63"/>
    </row>
    <row r="19" spans="1:37" x14ac:dyDescent="0.2">
      <c r="S19" s="61"/>
      <c r="T19" s="62"/>
      <c r="U19" s="63"/>
    </row>
    <row r="20" spans="1:37" s="17" customFormat="1" x14ac:dyDescent="0.2">
      <c r="A20" s="64" t="s">
        <v>6</v>
      </c>
      <c r="B20" s="65"/>
      <c r="C20" s="65"/>
      <c r="D20" s="65"/>
      <c r="E20" s="66"/>
      <c r="F20" s="66"/>
      <c r="G20" s="15"/>
      <c r="H20" s="15"/>
      <c r="I20" s="15"/>
      <c r="J20" s="21"/>
      <c r="K20" s="21"/>
      <c r="L20" s="67"/>
      <c r="M20" s="16"/>
      <c r="N20" s="16"/>
      <c r="O20" s="16"/>
      <c r="P20" s="16"/>
      <c r="Q20" s="16"/>
      <c r="S20" s="61"/>
      <c r="T20" s="62"/>
      <c r="U20" s="6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x14ac:dyDescent="0.2">
      <c r="A21" s="68" t="s">
        <v>41</v>
      </c>
      <c r="B21" s="69" t="s">
        <v>37</v>
      </c>
      <c r="C21" s="69" t="s">
        <v>38</v>
      </c>
      <c r="D21" s="69" t="s">
        <v>39</v>
      </c>
      <c r="E21" s="196" t="s">
        <v>73</v>
      </c>
      <c r="F21" s="196"/>
      <c r="G21" s="68"/>
      <c r="H21" s="68" t="s">
        <v>4</v>
      </c>
      <c r="I21" s="68"/>
      <c r="J21" s="68" t="s">
        <v>5</v>
      </c>
      <c r="K21" s="68"/>
      <c r="L21" s="68" t="s">
        <v>52</v>
      </c>
      <c r="M21" s="68" t="s">
        <v>35</v>
      </c>
      <c r="N21" s="68" t="s">
        <v>1</v>
      </c>
      <c r="O21" s="68" t="s">
        <v>61</v>
      </c>
      <c r="P21" s="68" t="s">
        <v>2</v>
      </c>
    </row>
    <row r="22" spans="1:37" x14ac:dyDescent="0.2">
      <c r="A22" s="70">
        <v>1</v>
      </c>
      <c r="B22" s="71">
        <v>28</v>
      </c>
      <c r="C22" s="71">
        <v>12</v>
      </c>
      <c r="D22" s="71">
        <v>2022</v>
      </c>
      <c r="E22" s="72" t="s">
        <v>79</v>
      </c>
      <c r="F22" s="72">
        <v>56051</v>
      </c>
      <c r="G22" s="66" t="s">
        <v>88</v>
      </c>
      <c r="H22" s="73"/>
      <c r="I22" s="66"/>
      <c r="J22" s="74">
        <v>77617950</v>
      </c>
      <c r="K22" s="72">
        <v>7</v>
      </c>
      <c r="L22" s="75">
        <v>12773</v>
      </c>
      <c r="M22" s="75">
        <v>0</v>
      </c>
      <c r="N22" s="75">
        <v>2427</v>
      </c>
      <c r="O22" s="75">
        <v>0</v>
      </c>
      <c r="P22" s="75">
        <f>SUM(L22:O22)</f>
        <v>15200</v>
      </c>
      <c r="R22" s="183"/>
      <c r="S22" s="183"/>
      <c r="T22" s="183"/>
      <c r="U22" s="183"/>
      <c r="V22" s="183"/>
    </row>
    <row r="23" spans="1:37" x14ac:dyDescent="0.2">
      <c r="A23" s="70">
        <v>2</v>
      </c>
      <c r="B23" s="71"/>
      <c r="C23" s="71">
        <v>12</v>
      </c>
      <c r="D23" s="71">
        <v>2022</v>
      </c>
      <c r="E23" s="72" t="s">
        <v>79</v>
      </c>
      <c r="F23" s="72"/>
      <c r="G23" s="66"/>
      <c r="H23" s="73"/>
      <c r="I23" s="66"/>
      <c r="J23" s="74"/>
      <c r="K23" s="72"/>
      <c r="L23" s="75">
        <v>0</v>
      </c>
      <c r="M23" s="75">
        <v>0</v>
      </c>
      <c r="N23" s="76">
        <v>0</v>
      </c>
      <c r="O23" s="75">
        <v>0</v>
      </c>
      <c r="P23" s="75">
        <f>SUM(L23:O23)</f>
        <v>0</v>
      </c>
      <c r="U23" s="67"/>
      <c r="V23" s="21"/>
    </row>
    <row r="24" spans="1:37" x14ac:dyDescent="0.2">
      <c r="A24" s="70">
        <v>3</v>
      </c>
      <c r="B24" s="71"/>
      <c r="C24" s="71">
        <v>12</v>
      </c>
      <c r="D24" s="71">
        <v>2022</v>
      </c>
      <c r="E24" s="72" t="s">
        <v>79</v>
      </c>
      <c r="F24" s="72"/>
      <c r="G24" s="66"/>
      <c r="H24" s="73"/>
      <c r="I24" s="66"/>
      <c r="J24" s="74"/>
      <c r="K24" s="72"/>
      <c r="L24" s="77">
        <v>0</v>
      </c>
      <c r="M24" s="75">
        <v>0</v>
      </c>
      <c r="N24" s="76">
        <v>0</v>
      </c>
      <c r="O24" s="76">
        <v>0</v>
      </c>
      <c r="P24" s="76">
        <f>SUM(L24:O24)</f>
        <v>0</v>
      </c>
      <c r="U24" s="17"/>
      <c r="W24" s="166"/>
    </row>
    <row r="25" spans="1:37" x14ac:dyDescent="0.2">
      <c r="A25" s="70">
        <v>4</v>
      </c>
      <c r="B25" s="71"/>
      <c r="C25" s="71">
        <v>12</v>
      </c>
      <c r="D25" s="71">
        <v>2022</v>
      </c>
      <c r="E25" s="72" t="s">
        <v>79</v>
      </c>
      <c r="F25" s="78"/>
      <c r="G25" s="66"/>
      <c r="H25" s="73"/>
      <c r="I25" s="66"/>
      <c r="J25" s="74"/>
      <c r="K25" s="72"/>
      <c r="L25" s="75">
        <v>0</v>
      </c>
      <c r="M25" s="75">
        <v>0</v>
      </c>
      <c r="N25" s="76">
        <v>0</v>
      </c>
      <c r="O25" s="76">
        <v>0</v>
      </c>
      <c r="P25" s="76">
        <f>SUM(L25:O25)</f>
        <v>0</v>
      </c>
      <c r="U25" s="17"/>
      <c r="W25" s="31"/>
    </row>
    <row r="26" spans="1:37" x14ac:dyDescent="0.2">
      <c r="A26" s="14" t="s">
        <v>49</v>
      </c>
      <c r="B26" s="30"/>
      <c r="C26" s="30"/>
      <c r="D26" s="30"/>
      <c r="E26" s="79"/>
      <c r="F26" s="32"/>
      <c r="G26" s="33"/>
      <c r="H26" s="33"/>
      <c r="I26" s="33"/>
      <c r="J26" s="31"/>
      <c r="K26" s="31"/>
      <c r="L26" s="34">
        <f>SUM(L22:L25)</f>
        <v>12773</v>
      </c>
      <c r="M26" s="34">
        <f t="shared" ref="M26:P26" si="7">SUM(M22:M25)</f>
        <v>0</v>
      </c>
      <c r="N26" s="34">
        <f t="shared" si="7"/>
        <v>2427</v>
      </c>
      <c r="O26" s="34">
        <f t="shared" si="7"/>
        <v>0</v>
      </c>
      <c r="P26" s="34">
        <f t="shared" si="7"/>
        <v>15200</v>
      </c>
      <c r="R26" s="15"/>
      <c r="S26" s="67"/>
      <c r="U26" s="67"/>
      <c r="V26" s="170"/>
      <c r="W26" s="167"/>
    </row>
    <row r="27" spans="1:37" x14ac:dyDescent="0.2">
      <c r="A27" s="80">
        <v>1</v>
      </c>
      <c r="B27" s="80"/>
      <c r="C27" s="80">
        <v>11</v>
      </c>
      <c r="D27" s="80">
        <v>2022</v>
      </c>
      <c r="E27" s="81" t="s">
        <v>80</v>
      </c>
      <c r="F27" s="82"/>
      <c r="G27" s="83"/>
      <c r="H27" s="84"/>
      <c r="I27" s="83"/>
      <c r="J27" s="85"/>
      <c r="K27" s="86"/>
      <c r="L27" s="87"/>
      <c r="M27" s="88">
        <v>0</v>
      </c>
      <c r="N27" s="88">
        <f t="shared" ref="N27:N28" si="8">ROUND((L27*19%),0)</f>
        <v>0</v>
      </c>
      <c r="O27" s="88">
        <v>0</v>
      </c>
      <c r="P27" s="88">
        <f>SUM(L27:O27)</f>
        <v>0</v>
      </c>
      <c r="R27" s="15"/>
      <c r="S27" s="17"/>
      <c r="U27" s="17"/>
      <c r="V27" s="170"/>
      <c r="W27" s="167"/>
    </row>
    <row r="28" spans="1:37" x14ac:dyDescent="0.2">
      <c r="A28" s="80">
        <v>2</v>
      </c>
      <c r="B28" s="80"/>
      <c r="C28" s="80">
        <v>11</v>
      </c>
      <c r="D28" s="80">
        <v>2022</v>
      </c>
      <c r="E28" s="81" t="s">
        <v>80</v>
      </c>
      <c r="F28" s="82"/>
      <c r="G28" s="83"/>
      <c r="H28" s="84"/>
      <c r="I28" s="83"/>
      <c r="J28" s="85"/>
      <c r="K28" s="86"/>
      <c r="L28" s="88"/>
      <c r="M28" s="88">
        <v>0</v>
      </c>
      <c r="N28" s="88">
        <f t="shared" si="8"/>
        <v>0</v>
      </c>
      <c r="O28" s="88">
        <v>0</v>
      </c>
      <c r="P28" s="88">
        <f>SUM(L28:O28)</f>
        <v>0</v>
      </c>
      <c r="R28" s="15"/>
      <c r="U28" s="17"/>
      <c r="V28" s="170"/>
      <c r="W28" s="167"/>
    </row>
    <row r="29" spans="1:37" x14ac:dyDescent="0.2">
      <c r="A29" s="39" t="s">
        <v>48</v>
      </c>
      <c r="B29" s="40"/>
      <c r="C29" s="40"/>
      <c r="D29" s="40"/>
      <c r="E29" s="89"/>
      <c r="F29" s="42"/>
      <c r="G29" s="43"/>
      <c r="H29" s="43"/>
      <c r="I29" s="43"/>
      <c r="J29" s="41"/>
      <c r="K29" s="41"/>
      <c r="L29" s="44">
        <f>SUM(L27:L28)</f>
        <v>0</v>
      </c>
      <c r="M29" s="44">
        <f>SUM(M27:M28)</f>
        <v>0</v>
      </c>
      <c r="N29" s="44">
        <f>SUM(N27:N28)</f>
        <v>0</v>
      </c>
      <c r="O29" s="44">
        <f>SUM(O27:O28)</f>
        <v>0</v>
      </c>
      <c r="P29" s="44">
        <f>SUM(P27:P28)</f>
        <v>0</v>
      </c>
      <c r="R29" s="15"/>
      <c r="U29" s="17"/>
      <c r="V29" s="170"/>
      <c r="W29" s="167"/>
    </row>
    <row r="30" spans="1:37" x14ac:dyDescent="0.2">
      <c r="A30" s="90" t="s">
        <v>17</v>
      </c>
      <c r="B30" s="69"/>
      <c r="C30" s="69"/>
      <c r="D30" s="69"/>
      <c r="E30" s="69"/>
      <c r="F30" s="91"/>
      <c r="G30" s="91"/>
      <c r="H30" s="91"/>
      <c r="I30" s="91"/>
      <c r="J30" s="92"/>
      <c r="K30" s="92"/>
      <c r="L30" s="93">
        <f>+L26+L29</f>
        <v>12773</v>
      </c>
      <c r="M30" s="93">
        <f>+M26-M29</f>
        <v>0</v>
      </c>
      <c r="N30" s="93">
        <f>N26+N29</f>
        <v>2427</v>
      </c>
      <c r="O30" s="93">
        <f>+O26-O29</f>
        <v>0</v>
      </c>
      <c r="P30" s="93">
        <f>+P26+P29</f>
        <v>15200</v>
      </c>
      <c r="R30" s="15"/>
      <c r="S30" s="17"/>
      <c r="U30" s="17"/>
      <c r="V30" s="170"/>
      <c r="W30" s="167"/>
    </row>
    <row r="31" spans="1:37" x14ac:dyDescent="0.2">
      <c r="R31" s="15"/>
      <c r="U31" s="17"/>
      <c r="V31" s="170"/>
      <c r="W31" s="168"/>
    </row>
    <row r="32" spans="1:37" x14ac:dyDescent="0.2">
      <c r="A32" s="139" t="s">
        <v>7</v>
      </c>
      <c r="B32" s="140"/>
      <c r="C32" s="140"/>
      <c r="D32" s="140"/>
      <c r="E32" s="140"/>
      <c r="F32" s="141"/>
      <c r="J32" s="21"/>
      <c r="K32" s="21"/>
      <c r="L32" s="16"/>
      <c r="M32" s="16"/>
      <c r="N32" s="16"/>
      <c r="O32" s="16"/>
      <c r="P32" s="16"/>
      <c r="Q32" s="16"/>
      <c r="R32" s="15"/>
      <c r="U32" s="17"/>
      <c r="V32" s="170"/>
      <c r="W32" s="169"/>
    </row>
    <row r="33" spans="1:28" x14ac:dyDescent="0.2">
      <c r="A33" s="142" t="s">
        <v>41</v>
      </c>
      <c r="B33" s="143" t="s">
        <v>72</v>
      </c>
      <c r="C33" s="143" t="s">
        <v>38</v>
      </c>
      <c r="D33" s="143" t="s">
        <v>39</v>
      </c>
      <c r="E33" s="197" t="s">
        <v>43</v>
      </c>
      <c r="F33" s="197"/>
      <c r="G33" s="142"/>
      <c r="H33" s="142" t="s">
        <v>8</v>
      </c>
      <c r="I33" s="142"/>
      <c r="J33" s="142" t="s">
        <v>5</v>
      </c>
      <c r="K33" s="142"/>
      <c r="L33" s="142" t="s">
        <v>9</v>
      </c>
      <c r="M33" s="142" t="s">
        <v>69</v>
      </c>
      <c r="N33" s="142" t="s">
        <v>10</v>
      </c>
      <c r="R33" s="15"/>
      <c r="U33" s="17"/>
      <c r="V33" s="170"/>
      <c r="W33" s="170"/>
    </row>
    <row r="34" spans="1:28" x14ac:dyDescent="0.2">
      <c r="A34" s="144">
        <v>1</v>
      </c>
      <c r="B34" s="145"/>
      <c r="C34" s="145">
        <v>12</v>
      </c>
      <c r="D34" s="145">
        <v>2022</v>
      </c>
      <c r="E34" s="146" t="s">
        <v>82</v>
      </c>
      <c r="F34" s="147"/>
      <c r="G34" s="151"/>
      <c r="H34" s="152"/>
      <c r="I34" s="152"/>
      <c r="J34" s="153"/>
      <c r="K34" s="146"/>
      <c r="L34" s="154"/>
      <c r="M34" s="155">
        <f>+L34*0.1225</f>
        <v>0</v>
      </c>
      <c r="N34" s="155">
        <f>+L34-M34</f>
        <v>0</v>
      </c>
      <c r="R34" s="15"/>
      <c r="S34" s="17"/>
      <c r="U34" s="17"/>
      <c r="V34" s="170"/>
      <c r="W34" s="169"/>
    </row>
    <row r="35" spans="1:28" x14ac:dyDescent="0.2">
      <c r="A35" s="144">
        <v>2</v>
      </c>
      <c r="B35" s="145"/>
      <c r="C35" s="145">
        <v>12</v>
      </c>
      <c r="D35" s="145">
        <v>2022</v>
      </c>
      <c r="E35" s="146" t="s">
        <v>82</v>
      </c>
      <c r="F35" s="147"/>
      <c r="G35" s="151"/>
      <c r="H35" s="152"/>
      <c r="I35" s="152"/>
      <c r="J35" s="153"/>
      <c r="K35" s="146"/>
      <c r="L35" s="154"/>
      <c r="M35" s="155">
        <f t="shared" ref="M35" si="9">+L35*0.1225</f>
        <v>0</v>
      </c>
      <c r="N35" s="155">
        <f t="shared" ref="N35" si="10">+L35-M35</f>
        <v>0</v>
      </c>
      <c r="R35" s="15"/>
      <c r="S35" s="17"/>
      <c r="U35" s="17"/>
      <c r="V35" s="170"/>
      <c r="W35" s="168"/>
    </row>
    <row r="36" spans="1:28" x14ac:dyDescent="0.2">
      <c r="A36" s="148" t="s">
        <v>18</v>
      </c>
      <c r="B36" s="149"/>
      <c r="C36" s="149"/>
      <c r="D36" s="149"/>
      <c r="E36" s="143"/>
      <c r="F36" s="150"/>
      <c r="G36" s="150"/>
      <c r="H36" s="150"/>
      <c r="I36" s="150"/>
      <c r="J36" s="156"/>
      <c r="K36" s="156"/>
      <c r="L36" s="157">
        <f>SUM(L34:L35)</f>
        <v>0</v>
      </c>
      <c r="M36" s="157">
        <f>SUM(M34:M35)</f>
        <v>0</v>
      </c>
      <c r="N36" s="157">
        <f>SUM(N34:N35)</f>
        <v>0</v>
      </c>
      <c r="R36" s="15"/>
      <c r="U36" s="17"/>
      <c r="V36" s="170"/>
      <c r="W36" s="169"/>
    </row>
    <row r="38" spans="1:28" x14ac:dyDescent="0.2">
      <c r="A38" s="199" t="s">
        <v>97</v>
      </c>
      <c r="B38" s="199"/>
      <c r="C38" s="199"/>
      <c r="D38" s="199"/>
      <c r="E38" s="199"/>
      <c r="F38" s="199"/>
      <c r="G38" s="200" t="s">
        <v>55</v>
      </c>
      <c r="H38" s="200"/>
      <c r="I38" s="200"/>
      <c r="J38" s="200"/>
      <c r="K38" s="200"/>
      <c r="L38" s="201" t="s">
        <v>85</v>
      </c>
      <c r="M38" s="201"/>
      <c r="N38" s="201"/>
      <c r="O38" s="201"/>
      <c r="P38" s="201"/>
      <c r="Q38" s="202" t="s">
        <v>77</v>
      </c>
      <c r="R38" s="202"/>
      <c r="S38" s="203" t="s">
        <v>75</v>
      </c>
      <c r="T38" s="203"/>
      <c r="U38" s="203"/>
      <c r="V38" s="204" t="s">
        <v>12</v>
      </c>
      <c r="W38" s="204"/>
      <c r="X38" s="198" t="s">
        <v>71</v>
      </c>
      <c r="Y38" s="198"/>
      <c r="Z38" s="198"/>
      <c r="AA38" s="198"/>
      <c r="AB38" s="198"/>
    </row>
    <row r="39" spans="1:28" x14ac:dyDescent="0.2">
      <c r="A39" s="97" t="s">
        <v>11</v>
      </c>
      <c r="B39" s="98" t="s">
        <v>47</v>
      </c>
      <c r="C39" s="94"/>
      <c r="D39" s="94"/>
      <c r="E39" s="94"/>
      <c r="F39" s="95">
        <f>+L18</f>
        <v>0</v>
      </c>
      <c r="G39" s="96" t="s">
        <v>53</v>
      </c>
      <c r="H39" s="99" t="s">
        <v>52</v>
      </c>
      <c r="I39" s="99" t="s">
        <v>1</v>
      </c>
      <c r="J39" s="99" t="s">
        <v>2</v>
      </c>
      <c r="K39" s="100"/>
      <c r="L39" s="102" t="s">
        <v>52</v>
      </c>
      <c r="M39" s="103" t="s">
        <v>35</v>
      </c>
      <c r="N39" s="102" t="s">
        <v>1</v>
      </c>
      <c r="O39" s="103" t="s">
        <v>68</v>
      </c>
      <c r="P39" s="103" t="s">
        <v>2</v>
      </c>
      <c r="Q39" s="171" t="s">
        <v>78</v>
      </c>
      <c r="R39" s="171" t="s">
        <v>60</v>
      </c>
      <c r="S39" s="104" t="s">
        <v>9</v>
      </c>
      <c r="T39" s="105" t="s">
        <v>76</v>
      </c>
      <c r="U39" s="106" t="s">
        <v>10</v>
      </c>
      <c r="V39" s="101" t="s">
        <v>56</v>
      </c>
      <c r="W39" s="101" t="s">
        <v>57</v>
      </c>
      <c r="X39" s="136" t="s">
        <v>58</v>
      </c>
      <c r="Y39" s="136" t="s">
        <v>70</v>
      </c>
      <c r="Z39" s="136" t="s">
        <v>62</v>
      </c>
      <c r="AA39" s="136" t="s">
        <v>74</v>
      </c>
      <c r="AB39" s="136" t="s">
        <v>59</v>
      </c>
    </row>
    <row r="40" spans="1:28" x14ac:dyDescent="0.2">
      <c r="A40" s="97" t="s">
        <v>11</v>
      </c>
      <c r="B40" s="98" t="s">
        <v>13</v>
      </c>
      <c r="C40" s="98"/>
      <c r="D40" s="98"/>
      <c r="E40" s="98"/>
      <c r="F40" s="95">
        <f>+M11</f>
        <v>0</v>
      </c>
      <c r="G40" s="100" t="s">
        <v>22</v>
      </c>
      <c r="H40" s="107">
        <v>0</v>
      </c>
      <c r="I40" s="107">
        <f t="shared" ref="I40:I51" si="11">ROUND((H40*0.19),0)</f>
        <v>0</v>
      </c>
      <c r="J40" s="107">
        <f>SUM(H40:I40)</f>
        <v>0</v>
      </c>
      <c r="K40" s="100"/>
      <c r="L40" s="110">
        <v>0</v>
      </c>
      <c r="M40" s="110">
        <v>0</v>
      </c>
      <c r="N40" s="110">
        <v>0</v>
      </c>
      <c r="O40" s="111">
        <v>0</v>
      </c>
      <c r="P40" s="111">
        <f>SUM(L40:O40)</f>
        <v>0</v>
      </c>
      <c r="Q40" s="172">
        <v>0</v>
      </c>
      <c r="R40" s="172">
        <v>0</v>
      </c>
      <c r="S40" s="112">
        <v>0</v>
      </c>
      <c r="T40" s="112">
        <f>+S40*0.1225</f>
        <v>0</v>
      </c>
      <c r="U40" s="112">
        <f t="shared" ref="U40:U51" si="12">+S40-T40</f>
        <v>0</v>
      </c>
      <c r="V40" s="108"/>
      <c r="W40" s="109">
        <f t="shared" ref="W40:W51" si="13">ROUND((H40*V40),2)</f>
        <v>0</v>
      </c>
      <c r="X40" s="137">
        <v>0</v>
      </c>
      <c r="Y40" s="137">
        <v>0</v>
      </c>
      <c r="Z40" s="137">
        <v>0</v>
      </c>
      <c r="AA40" s="137">
        <v>0</v>
      </c>
      <c r="AB40" s="137">
        <v>0</v>
      </c>
    </row>
    <row r="41" spans="1:28" x14ac:dyDescent="0.2">
      <c r="A41" s="97" t="s">
        <v>11</v>
      </c>
      <c r="B41" s="113" t="s">
        <v>45</v>
      </c>
      <c r="C41" s="98"/>
      <c r="D41" s="98"/>
      <c r="E41" s="98"/>
      <c r="F41" s="114">
        <f>+M14</f>
        <v>0</v>
      </c>
      <c r="G41" s="100" t="s">
        <v>23</v>
      </c>
      <c r="H41" s="107">
        <v>0</v>
      </c>
      <c r="I41" s="107">
        <f t="shared" si="11"/>
        <v>0</v>
      </c>
      <c r="J41" s="107">
        <f t="shared" ref="J41:J51" si="14">SUM(H41:I41)</f>
        <v>0</v>
      </c>
      <c r="K41" s="100"/>
      <c r="L41" s="110">
        <v>0</v>
      </c>
      <c r="M41" s="110">
        <v>0</v>
      </c>
      <c r="N41" s="110">
        <v>0</v>
      </c>
      <c r="O41" s="111">
        <v>0</v>
      </c>
      <c r="P41" s="111">
        <f t="shared" ref="P41:P51" si="15">SUM(L41:O41)</f>
        <v>0</v>
      </c>
      <c r="Q41" s="172">
        <v>0</v>
      </c>
      <c r="R41" s="172">
        <v>0</v>
      </c>
      <c r="S41" s="112">
        <v>0</v>
      </c>
      <c r="T41" s="112">
        <f t="shared" ref="T41:T51" si="16">+S41*0.1225</f>
        <v>0</v>
      </c>
      <c r="U41" s="112">
        <f t="shared" si="12"/>
        <v>0</v>
      </c>
      <c r="V41" s="108"/>
      <c r="W41" s="109">
        <f t="shared" si="13"/>
        <v>0</v>
      </c>
      <c r="X41" s="137">
        <v>0</v>
      </c>
      <c r="Y41" s="137">
        <v>0</v>
      </c>
      <c r="Z41" s="137">
        <v>0</v>
      </c>
      <c r="AA41" s="137">
        <v>0</v>
      </c>
      <c r="AB41" s="137">
        <v>0</v>
      </c>
    </row>
    <row r="42" spans="1:28" s="17" customFormat="1" x14ac:dyDescent="0.2">
      <c r="A42" s="97" t="s">
        <v>11</v>
      </c>
      <c r="B42" s="115" t="s">
        <v>65</v>
      </c>
      <c r="C42" s="115"/>
      <c r="D42" s="98"/>
      <c r="E42" s="98"/>
      <c r="F42" s="116">
        <v>0</v>
      </c>
      <c r="G42" s="100" t="s">
        <v>24</v>
      </c>
      <c r="H42" s="107">
        <v>0</v>
      </c>
      <c r="I42" s="107">
        <f t="shared" si="11"/>
        <v>0</v>
      </c>
      <c r="J42" s="107">
        <f t="shared" si="14"/>
        <v>0</v>
      </c>
      <c r="K42" s="100"/>
      <c r="L42" s="110">
        <v>0</v>
      </c>
      <c r="M42" s="110">
        <v>0</v>
      </c>
      <c r="N42" s="110">
        <v>0</v>
      </c>
      <c r="O42" s="111">
        <v>0</v>
      </c>
      <c r="P42" s="111">
        <f t="shared" si="15"/>
        <v>0</v>
      </c>
      <c r="Q42" s="172">
        <v>0</v>
      </c>
      <c r="R42" s="172">
        <v>0</v>
      </c>
      <c r="S42" s="112">
        <v>0</v>
      </c>
      <c r="T42" s="112">
        <f t="shared" si="16"/>
        <v>0</v>
      </c>
      <c r="U42" s="112">
        <f t="shared" si="12"/>
        <v>0</v>
      </c>
      <c r="V42" s="108"/>
      <c r="W42" s="109">
        <f t="shared" si="13"/>
        <v>0</v>
      </c>
      <c r="X42" s="137">
        <v>0</v>
      </c>
      <c r="Y42" s="137">
        <v>0</v>
      </c>
      <c r="Z42" s="137">
        <v>0</v>
      </c>
      <c r="AA42" s="137">
        <v>0</v>
      </c>
      <c r="AB42" s="137">
        <v>0</v>
      </c>
    </row>
    <row r="43" spans="1:28" s="17" customFormat="1" x14ac:dyDescent="0.2">
      <c r="A43" s="97" t="s">
        <v>11</v>
      </c>
      <c r="B43" s="98" t="s">
        <v>63</v>
      </c>
      <c r="C43" s="98"/>
      <c r="D43" s="98"/>
      <c r="E43" s="98"/>
      <c r="F43" s="117">
        <f>SUM(F40:F41)</f>
        <v>0</v>
      </c>
      <c r="G43" s="100" t="s">
        <v>25</v>
      </c>
      <c r="H43" s="107">
        <v>0</v>
      </c>
      <c r="I43" s="107">
        <f t="shared" si="11"/>
        <v>0</v>
      </c>
      <c r="J43" s="107">
        <f t="shared" si="14"/>
        <v>0</v>
      </c>
      <c r="K43" s="107"/>
      <c r="L43" s="110">
        <v>0</v>
      </c>
      <c r="M43" s="110">
        <v>0</v>
      </c>
      <c r="N43" s="110">
        <v>0</v>
      </c>
      <c r="O43" s="111">
        <v>0</v>
      </c>
      <c r="P43" s="111">
        <f t="shared" si="15"/>
        <v>0</v>
      </c>
      <c r="Q43" s="172">
        <v>0</v>
      </c>
      <c r="R43" s="172">
        <v>0</v>
      </c>
      <c r="S43" s="112">
        <v>0</v>
      </c>
      <c r="T43" s="112">
        <f t="shared" si="16"/>
        <v>0</v>
      </c>
      <c r="U43" s="112">
        <f t="shared" si="12"/>
        <v>0</v>
      </c>
      <c r="V43" s="108"/>
      <c r="W43" s="109">
        <f t="shared" si="13"/>
        <v>0</v>
      </c>
      <c r="X43" s="137">
        <v>0</v>
      </c>
      <c r="Y43" s="137">
        <v>0</v>
      </c>
      <c r="Z43" s="137">
        <v>0</v>
      </c>
      <c r="AA43" s="137">
        <v>0</v>
      </c>
      <c r="AB43" s="137">
        <v>0</v>
      </c>
    </row>
    <row r="44" spans="1:28" s="17" customFormat="1" x14ac:dyDescent="0.2">
      <c r="A44" s="97" t="s">
        <v>11</v>
      </c>
      <c r="B44" s="113" t="s">
        <v>14</v>
      </c>
      <c r="C44" s="98"/>
      <c r="D44" s="98"/>
      <c r="E44" s="98"/>
      <c r="F44" s="114">
        <f>-N26</f>
        <v>-2427</v>
      </c>
      <c r="G44" s="100" t="s">
        <v>26</v>
      </c>
      <c r="H44" s="107">
        <v>0</v>
      </c>
      <c r="I44" s="107">
        <f t="shared" si="11"/>
        <v>0</v>
      </c>
      <c r="J44" s="107">
        <f t="shared" si="14"/>
        <v>0</v>
      </c>
      <c r="K44" s="107"/>
      <c r="L44" s="110">
        <v>0</v>
      </c>
      <c r="M44" s="110">
        <v>0</v>
      </c>
      <c r="N44" s="110">
        <v>0</v>
      </c>
      <c r="O44" s="111">
        <v>0</v>
      </c>
      <c r="P44" s="111">
        <f t="shared" si="15"/>
        <v>0</v>
      </c>
      <c r="Q44" s="172">
        <v>0</v>
      </c>
      <c r="R44" s="172">
        <v>0</v>
      </c>
      <c r="S44" s="112">
        <v>0</v>
      </c>
      <c r="T44" s="112">
        <f t="shared" si="16"/>
        <v>0</v>
      </c>
      <c r="U44" s="112">
        <f t="shared" si="12"/>
        <v>0</v>
      </c>
      <c r="V44" s="108"/>
      <c r="W44" s="109">
        <f t="shared" si="13"/>
        <v>0</v>
      </c>
      <c r="X44" s="137">
        <v>0</v>
      </c>
      <c r="Y44" s="137">
        <v>0</v>
      </c>
      <c r="Z44" s="137">
        <v>0</v>
      </c>
      <c r="AA44" s="137">
        <v>0</v>
      </c>
      <c r="AB44" s="137">
        <v>0</v>
      </c>
    </row>
    <row r="45" spans="1:28" s="17" customFormat="1" x14ac:dyDescent="0.2">
      <c r="A45" s="97" t="s">
        <v>11</v>
      </c>
      <c r="B45" s="98" t="s">
        <v>46</v>
      </c>
      <c r="C45" s="98"/>
      <c r="D45" s="98"/>
      <c r="E45" s="98"/>
      <c r="F45" s="95">
        <f>-N29</f>
        <v>0</v>
      </c>
      <c r="G45" s="100" t="s">
        <v>27</v>
      </c>
      <c r="H45" s="107">
        <v>0</v>
      </c>
      <c r="I45" s="107">
        <f t="shared" si="11"/>
        <v>0</v>
      </c>
      <c r="J45" s="107">
        <f t="shared" si="14"/>
        <v>0</v>
      </c>
      <c r="K45" s="107"/>
      <c r="L45" s="110">
        <v>0</v>
      </c>
      <c r="M45" s="110">
        <v>0</v>
      </c>
      <c r="N45" s="110">
        <v>0</v>
      </c>
      <c r="O45" s="111">
        <v>0</v>
      </c>
      <c r="P45" s="111">
        <f t="shared" si="15"/>
        <v>0</v>
      </c>
      <c r="Q45" s="172">
        <v>0</v>
      </c>
      <c r="R45" s="172">
        <v>0</v>
      </c>
      <c r="S45" s="112">
        <v>0</v>
      </c>
      <c r="T45" s="112">
        <f t="shared" si="16"/>
        <v>0</v>
      </c>
      <c r="U45" s="112">
        <f t="shared" si="12"/>
        <v>0</v>
      </c>
      <c r="V45" s="108"/>
      <c r="W45" s="109">
        <f t="shared" si="13"/>
        <v>0</v>
      </c>
      <c r="X45" s="137">
        <v>0</v>
      </c>
      <c r="Y45" s="137">
        <v>0</v>
      </c>
      <c r="Z45" s="137">
        <v>0</v>
      </c>
      <c r="AA45" s="137">
        <v>0</v>
      </c>
      <c r="AB45" s="137">
        <v>0</v>
      </c>
    </row>
    <row r="46" spans="1:28" s="17" customFormat="1" x14ac:dyDescent="0.2">
      <c r="A46" s="97" t="s">
        <v>11</v>
      </c>
      <c r="B46" s="98" t="s">
        <v>15</v>
      </c>
      <c r="C46" s="98"/>
      <c r="D46" s="98"/>
      <c r="E46" s="98"/>
      <c r="F46" s="95">
        <f>SUM(F43:F45)</f>
        <v>-2427</v>
      </c>
      <c r="G46" s="100" t="s">
        <v>28</v>
      </c>
      <c r="H46" s="107">
        <v>0</v>
      </c>
      <c r="I46" s="107">
        <f t="shared" si="11"/>
        <v>0</v>
      </c>
      <c r="J46" s="107">
        <f t="shared" si="14"/>
        <v>0</v>
      </c>
      <c r="K46" s="107"/>
      <c r="L46" s="110">
        <v>0</v>
      </c>
      <c r="M46" s="110">
        <v>0</v>
      </c>
      <c r="N46" s="110">
        <v>0</v>
      </c>
      <c r="O46" s="111">
        <v>0</v>
      </c>
      <c r="P46" s="111">
        <f t="shared" si="15"/>
        <v>0</v>
      </c>
      <c r="Q46" s="172">
        <v>0</v>
      </c>
      <c r="R46" s="172">
        <v>0</v>
      </c>
      <c r="S46" s="112">
        <v>0</v>
      </c>
      <c r="T46" s="112">
        <f t="shared" si="16"/>
        <v>0</v>
      </c>
      <c r="U46" s="112">
        <f t="shared" si="12"/>
        <v>0</v>
      </c>
      <c r="V46" s="108"/>
      <c r="W46" s="109">
        <f t="shared" si="13"/>
        <v>0</v>
      </c>
      <c r="X46" s="137">
        <v>0</v>
      </c>
      <c r="Y46" s="137">
        <v>0</v>
      </c>
      <c r="Z46" s="137">
        <v>0</v>
      </c>
      <c r="AA46" s="137">
        <v>0</v>
      </c>
      <c r="AB46" s="137">
        <v>0</v>
      </c>
    </row>
    <row r="47" spans="1:28" s="17" customFormat="1" x14ac:dyDescent="0.2">
      <c r="A47" s="97" t="s">
        <v>11</v>
      </c>
      <c r="B47" s="98" t="s">
        <v>34</v>
      </c>
      <c r="C47" s="98"/>
      <c r="D47" s="98"/>
      <c r="E47" s="98"/>
      <c r="F47" s="95">
        <f>+M36</f>
        <v>0</v>
      </c>
      <c r="G47" s="100" t="s">
        <v>29</v>
      </c>
      <c r="H47" s="107">
        <v>0</v>
      </c>
      <c r="I47" s="107">
        <f t="shared" si="11"/>
        <v>0</v>
      </c>
      <c r="J47" s="107">
        <f t="shared" si="14"/>
        <v>0</v>
      </c>
      <c r="K47" s="107"/>
      <c r="L47" s="110">
        <v>0</v>
      </c>
      <c r="M47" s="110">
        <v>0</v>
      </c>
      <c r="N47" s="110">
        <v>0</v>
      </c>
      <c r="O47" s="111">
        <v>0</v>
      </c>
      <c r="P47" s="111">
        <f t="shared" si="15"/>
        <v>0</v>
      </c>
      <c r="Q47" s="172">
        <v>0</v>
      </c>
      <c r="R47" s="172">
        <v>0</v>
      </c>
      <c r="S47" s="112">
        <v>0</v>
      </c>
      <c r="T47" s="112">
        <f t="shared" si="16"/>
        <v>0</v>
      </c>
      <c r="U47" s="112">
        <f t="shared" si="12"/>
        <v>0</v>
      </c>
      <c r="V47" s="108"/>
      <c r="W47" s="109">
        <f t="shared" si="13"/>
        <v>0</v>
      </c>
      <c r="X47" s="137">
        <v>0</v>
      </c>
      <c r="Y47" s="137">
        <v>0</v>
      </c>
      <c r="Z47" s="137">
        <v>0</v>
      </c>
      <c r="AA47" s="137">
        <v>0</v>
      </c>
      <c r="AB47" s="137">
        <v>0</v>
      </c>
    </row>
    <row r="48" spans="1:28" s="17" customFormat="1" x14ac:dyDescent="0.2">
      <c r="A48" s="97" t="s">
        <v>11</v>
      </c>
      <c r="B48" s="98" t="s">
        <v>12</v>
      </c>
      <c r="C48" s="98"/>
      <c r="D48" s="118">
        <v>0.15</v>
      </c>
      <c r="E48" s="98"/>
      <c r="F48" s="95">
        <f>ROUND((L18*D48),0)</f>
        <v>0</v>
      </c>
      <c r="G48" s="100" t="s">
        <v>30</v>
      </c>
      <c r="H48" s="107">
        <v>0</v>
      </c>
      <c r="I48" s="107">
        <f t="shared" si="11"/>
        <v>0</v>
      </c>
      <c r="J48" s="107">
        <f t="shared" si="14"/>
        <v>0</v>
      </c>
      <c r="K48" s="107"/>
      <c r="L48" s="110">
        <v>76082</v>
      </c>
      <c r="M48" s="110">
        <v>146370</v>
      </c>
      <c r="N48" s="110">
        <v>14456</v>
      </c>
      <c r="O48" s="111">
        <v>0</v>
      </c>
      <c r="P48" s="111">
        <f t="shared" si="15"/>
        <v>236908</v>
      </c>
      <c r="Q48" s="172">
        <v>0</v>
      </c>
      <c r="R48" s="172">
        <v>0</v>
      </c>
      <c r="S48" s="112">
        <v>0</v>
      </c>
      <c r="T48" s="112">
        <f t="shared" si="16"/>
        <v>0</v>
      </c>
      <c r="U48" s="112">
        <f t="shared" si="12"/>
        <v>0</v>
      </c>
      <c r="V48" s="108"/>
      <c r="W48" s="109">
        <f t="shared" si="13"/>
        <v>0</v>
      </c>
      <c r="X48" s="137">
        <v>0</v>
      </c>
      <c r="Y48" s="137">
        <v>0</v>
      </c>
      <c r="Z48" s="137">
        <v>48000</v>
      </c>
      <c r="AA48" s="137">
        <v>0</v>
      </c>
      <c r="AB48" s="137">
        <v>0</v>
      </c>
    </row>
    <row r="49" spans="1:35" s="17" customFormat="1" x14ac:dyDescent="0.2">
      <c r="A49" s="97" t="s">
        <v>11</v>
      </c>
      <c r="B49" s="119" t="s">
        <v>67</v>
      </c>
      <c r="C49" s="120"/>
      <c r="D49" s="120"/>
      <c r="E49" s="98"/>
      <c r="F49" s="121">
        <v>0</v>
      </c>
      <c r="G49" s="100" t="s">
        <v>31</v>
      </c>
      <c r="H49" s="107">
        <v>0</v>
      </c>
      <c r="I49" s="107">
        <f t="shared" si="11"/>
        <v>0</v>
      </c>
      <c r="J49" s="107">
        <f t="shared" si="14"/>
        <v>0</v>
      </c>
      <c r="K49" s="107"/>
      <c r="L49" s="110">
        <v>0</v>
      </c>
      <c r="M49" s="110">
        <v>0</v>
      </c>
      <c r="N49" s="110">
        <v>0</v>
      </c>
      <c r="O49" s="111">
        <v>0</v>
      </c>
      <c r="P49" s="111">
        <f t="shared" si="15"/>
        <v>0</v>
      </c>
      <c r="Q49" s="172">
        <v>0</v>
      </c>
      <c r="R49" s="172">
        <v>0</v>
      </c>
      <c r="S49" s="112">
        <v>0</v>
      </c>
      <c r="T49" s="112">
        <f t="shared" si="16"/>
        <v>0</v>
      </c>
      <c r="U49" s="112">
        <f t="shared" si="12"/>
        <v>0</v>
      </c>
      <c r="V49" s="108"/>
      <c r="W49" s="109">
        <f t="shared" si="13"/>
        <v>0</v>
      </c>
      <c r="X49" s="137">
        <v>0</v>
      </c>
      <c r="Y49" s="137">
        <v>0</v>
      </c>
      <c r="Z49" s="137">
        <v>48000</v>
      </c>
      <c r="AA49" s="137">
        <v>0</v>
      </c>
      <c r="AB49" s="137">
        <v>0</v>
      </c>
    </row>
    <row r="50" spans="1:35" s="17" customFormat="1" x14ac:dyDescent="0.2">
      <c r="A50" s="97" t="s">
        <v>11</v>
      </c>
      <c r="B50" s="120" t="s">
        <v>19</v>
      </c>
      <c r="C50" s="120"/>
      <c r="D50" s="120"/>
      <c r="E50" s="98"/>
      <c r="F50" s="122">
        <f>SUM(F46:F48)</f>
        <v>-2427</v>
      </c>
      <c r="G50" s="100" t="s">
        <v>32</v>
      </c>
      <c r="H50" s="107">
        <v>78209</v>
      </c>
      <c r="I50" s="107">
        <f t="shared" si="11"/>
        <v>14860</v>
      </c>
      <c r="J50" s="107">
        <f t="shared" si="14"/>
        <v>93069</v>
      </c>
      <c r="K50" s="107"/>
      <c r="L50" s="110">
        <v>22536</v>
      </c>
      <c r="M50" s="110">
        <v>0</v>
      </c>
      <c r="N50" s="110">
        <v>4282</v>
      </c>
      <c r="O50" s="111">
        <v>0</v>
      </c>
      <c r="P50" s="111">
        <f t="shared" si="15"/>
        <v>26818</v>
      </c>
      <c r="Q50" s="172">
        <v>0</v>
      </c>
      <c r="R50" s="172">
        <v>0</v>
      </c>
      <c r="S50" s="112">
        <v>0</v>
      </c>
      <c r="T50" s="112">
        <f t="shared" si="16"/>
        <v>0</v>
      </c>
      <c r="U50" s="112">
        <f t="shared" si="12"/>
        <v>0</v>
      </c>
      <c r="V50" s="108"/>
      <c r="W50" s="109">
        <f t="shared" si="13"/>
        <v>0</v>
      </c>
      <c r="X50" s="137">
        <v>0</v>
      </c>
      <c r="Y50" s="137">
        <v>0</v>
      </c>
      <c r="Z50" s="137">
        <v>48000</v>
      </c>
      <c r="AA50" s="137">
        <v>0</v>
      </c>
      <c r="AB50" s="137">
        <v>0</v>
      </c>
    </row>
    <row r="51" spans="1:35" s="17" customFormat="1" x14ac:dyDescent="0.2">
      <c r="A51" s="123" t="s">
        <v>20</v>
      </c>
      <c r="B51" s="124"/>
      <c r="C51" s="124"/>
      <c r="D51" s="124"/>
      <c r="E51" s="124"/>
      <c r="F51" s="125">
        <f>+F46+F48</f>
        <v>-2427</v>
      </c>
      <c r="G51" s="100" t="s">
        <v>33</v>
      </c>
      <c r="H51" s="107">
        <v>0</v>
      </c>
      <c r="I51" s="107">
        <f t="shared" si="11"/>
        <v>0</v>
      </c>
      <c r="J51" s="107">
        <f t="shared" si="14"/>
        <v>0</v>
      </c>
      <c r="K51" s="107"/>
      <c r="L51" s="110">
        <v>12773</v>
      </c>
      <c r="M51" s="110">
        <v>0</v>
      </c>
      <c r="N51" s="110">
        <v>2427</v>
      </c>
      <c r="O51" s="111">
        <v>0</v>
      </c>
      <c r="P51" s="111">
        <f t="shared" si="15"/>
        <v>15200</v>
      </c>
      <c r="Q51" s="172">
        <v>0</v>
      </c>
      <c r="R51" s="172">
        <v>0</v>
      </c>
      <c r="S51" s="112">
        <v>0</v>
      </c>
      <c r="T51" s="112">
        <f t="shared" si="16"/>
        <v>0</v>
      </c>
      <c r="U51" s="112">
        <f t="shared" si="12"/>
        <v>0</v>
      </c>
      <c r="V51" s="108"/>
      <c r="W51" s="109">
        <f t="shared" si="13"/>
        <v>0</v>
      </c>
      <c r="X51" s="137">
        <v>0</v>
      </c>
      <c r="Y51" s="137">
        <v>0</v>
      </c>
      <c r="Z51" s="137">
        <v>48000</v>
      </c>
      <c r="AA51" s="137">
        <v>0</v>
      </c>
      <c r="AB51" s="137">
        <v>0</v>
      </c>
    </row>
    <row r="52" spans="1:35" s="17" customFormat="1" x14ac:dyDescent="0.2">
      <c r="A52" s="123" t="s">
        <v>21</v>
      </c>
      <c r="B52" s="124"/>
      <c r="C52" s="124"/>
      <c r="D52" s="124"/>
      <c r="E52" s="124"/>
      <c r="F52" s="126" t="e">
        <f>+F51/L18</f>
        <v>#DIV/0!</v>
      </c>
      <c r="G52" s="127" t="s">
        <v>36</v>
      </c>
      <c r="H52" s="128">
        <f>SUM(H40:H51)</f>
        <v>78209</v>
      </c>
      <c r="I52" s="128">
        <f>SUM(I40:I51)</f>
        <v>14860</v>
      </c>
      <c r="J52" s="128">
        <f>SUM(J40:J51)</f>
        <v>93069</v>
      </c>
      <c r="K52" s="107"/>
      <c r="L52" s="130">
        <f>SUM(L40:L51)</f>
        <v>111391</v>
      </c>
      <c r="M52" s="130">
        <f t="shared" ref="M52:P52" si="17">SUM(M40:M51)</f>
        <v>146370</v>
      </c>
      <c r="N52" s="130">
        <f t="shared" si="17"/>
        <v>21165</v>
      </c>
      <c r="O52" s="130">
        <f t="shared" si="17"/>
        <v>0</v>
      </c>
      <c r="P52" s="130">
        <f t="shared" si="17"/>
        <v>278926</v>
      </c>
      <c r="Q52" s="173">
        <f>SUM(Q40:Q51)</f>
        <v>0</v>
      </c>
      <c r="R52" s="173">
        <f>SUM(R40:R51)</f>
        <v>0</v>
      </c>
      <c r="S52" s="131">
        <f>SUM(S40:S51)</f>
        <v>0</v>
      </c>
      <c r="T52" s="131">
        <f t="shared" ref="T52:U52" si="18">SUM(T40:T51)</f>
        <v>0</v>
      </c>
      <c r="U52" s="131">
        <f t="shared" si="18"/>
        <v>0</v>
      </c>
      <c r="V52" s="158">
        <f>SUM(V40:V51)</f>
        <v>0</v>
      </c>
      <c r="W52" s="129">
        <f>SUM(W40:W51)</f>
        <v>0</v>
      </c>
      <c r="X52" s="138">
        <f>SUM(X40:X51)</f>
        <v>0</v>
      </c>
      <c r="Y52" s="138">
        <f t="shared" ref="Y52:AB52" si="19">SUM(Y40:Y51)</f>
        <v>0</v>
      </c>
      <c r="Z52" s="138">
        <f t="shared" si="19"/>
        <v>192000</v>
      </c>
      <c r="AA52" s="138">
        <f>SUM(AA40:AA51)</f>
        <v>0</v>
      </c>
      <c r="AB52" s="138">
        <f t="shared" si="19"/>
        <v>0</v>
      </c>
    </row>
    <row r="53" spans="1:35" s="17" customFormat="1" x14ac:dyDescent="0.2">
      <c r="A53" s="132" t="s">
        <v>64</v>
      </c>
      <c r="B53" s="133"/>
      <c r="C53" s="133"/>
      <c r="D53" s="133"/>
      <c r="E53" s="133"/>
      <c r="F53" s="134" t="e">
        <f>+F46/L18</f>
        <v>#DIV/0!</v>
      </c>
      <c r="G53" s="159" t="s">
        <v>54</v>
      </c>
      <c r="H53" s="160">
        <f>+H52/1</f>
        <v>78209</v>
      </c>
      <c r="I53" s="160">
        <f>+I52/1</f>
        <v>14860</v>
      </c>
      <c r="J53" s="160">
        <f>+J52/1</f>
        <v>93069</v>
      </c>
      <c r="K53" s="159"/>
      <c r="L53" s="163">
        <f t="shared" ref="L53:AB53" si="20">+L52/1</f>
        <v>111391</v>
      </c>
      <c r="M53" s="163">
        <f t="shared" si="20"/>
        <v>146370</v>
      </c>
      <c r="N53" s="163">
        <f t="shared" si="20"/>
        <v>21165</v>
      </c>
      <c r="O53" s="163">
        <f t="shared" si="20"/>
        <v>0</v>
      </c>
      <c r="P53" s="163">
        <f t="shared" si="20"/>
        <v>278926</v>
      </c>
      <c r="Q53" s="174">
        <f t="shared" si="20"/>
        <v>0</v>
      </c>
      <c r="R53" s="174">
        <f t="shared" si="20"/>
        <v>0</v>
      </c>
      <c r="S53" s="164">
        <f t="shared" si="20"/>
        <v>0</v>
      </c>
      <c r="T53" s="164">
        <f t="shared" si="20"/>
        <v>0</v>
      </c>
      <c r="U53" s="164">
        <f t="shared" si="20"/>
        <v>0</v>
      </c>
      <c r="V53" s="161">
        <f t="shared" si="20"/>
        <v>0</v>
      </c>
      <c r="W53" s="162">
        <f t="shared" si="20"/>
        <v>0</v>
      </c>
      <c r="X53" s="165">
        <f t="shared" si="20"/>
        <v>0</v>
      </c>
      <c r="Y53" s="165">
        <f t="shared" si="20"/>
        <v>0</v>
      </c>
      <c r="Z53" s="165">
        <f t="shared" si="20"/>
        <v>192000</v>
      </c>
      <c r="AA53" s="165">
        <f t="shared" si="20"/>
        <v>0</v>
      </c>
      <c r="AB53" s="165">
        <f t="shared" si="20"/>
        <v>0</v>
      </c>
    </row>
    <row r="54" spans="1:35" s="17" customFormat="1" x14ac:dyDescent="0.2">
      <c r="A54" s="15"/>
      <c r="B54" s="15"/>
      <c r="C54" s="15"/>
      <c r="D54" s="15"/>
      <c r="E54" s="15"/>
      <c r="F54" s="15"/>
      <c r="G54" s="15"/>
      <c r="Q54" s="15"/>
      <c r="R54" s="15"/>
      <c r="T54" s="15"/>
      <c r="U54" s="15"/>
    </row>
    <row r="55" spans="1:35" x14ac:dyDescent="0.2">
      <c r="X55" s="135"/>
      <c r="AB55" s="135"/>
      <c r="AD55" s="17"/>
      <c r="AF55" s="135"/>
      <c r="AI55" s="135">
        <v>-4.5</v>
      </c>
    </row>
    <row r="56" spans="1:35" x14ac:dyDescent="0.2">
      <c r="AD56" s="17"/>
    </row>
  </sheetData>
  <mergeCells count="12">
    <mergeCell ref="X38:AB38"/>
    <mergeCell ref="A38:F38"/>
    <mergeCell ref="G38:K38"/>
    <mergeCell ref="L38:P38"/>
    <mergeCell ref="Q38:R38"/>
    <mergeCell ref="S38:U38"/>
    <mergeCell ref="V38:W38"/>
    <mergeCell ref="B3:D3"/>
    <mergeCell ref="E3:F3"/>
    <mergeCell ref="E4:F4"/>
    <mergeCell ref="E21:F21"/>
    <mergeCell ref="E33:F33"/>
  </mergeCells>
  <pageMargins left="0.7" right="0.7" top="0.75" bottom="0.75" header="0.3" footer="0.3"/>
  <ignoredErrors>
    <ignoredError sqref="M11:N20 N30" formula="1"/>
    <ignoredError sqref="P22:P25 P27:P30" formulaRange="1"/>
    <ignoredError sqref="P26" formula="1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8B73-39D4-4F8B-B953-D86C5DDFC6CB}">
  <dimension ref="A1:AK56"/>
  <sheetViews>
    <sheetView zoomScale="117" zoomScaleNormal="117" workbookViewId="0">
      <pane ySplit="4" topLeftCell="A11" activePane="bottomLeft" state="frozen"/>
      <selection pane="bottomLeft" activeCell="T17" sqref="T17"/>
    </sheetView>
  </sheetViews>
  <sheetFormatPr baseColWidth="10" defaultColWidth="11.42578125" defaultRowHeight="10.9" customHeight="1" x14ac:dyDescent="0.2"/>
  <cols>
    <col min="1" max="3" width="3.7109375" style="15" customWidth="1"/>
    <col min="4" max="4" width="5.7109375" style="15" customWidth="1"/>
    <col min="5" max="5" width="3.7109375" style="15" customWidth="1"/>
    <col min="6" max="10" width="9.28515625" style="15" customWidth="1"/>
    <col min="11" max="11" width="1.7109375" style="15" customWidth="1"/>
    <col min="12" max="17" width="9.28515625" style="15" customWidth="1"/>
    <col min="18" max="18" width="9.28515625" style="17" customWidth="1"/>
    <col min="19" max="28" width="9.28515625" style="15" customWidth="1"/>
    <col min="29" max="16384" width="11.42578125" style="15"/>
  </cols>
  <sheetData>
    <row r="1" spans="1:28" s="17" customFormat="1" ht="10.9" customHeight="1" x14ac:dyDescent="0.2">
      <c r="A1" s="189" t="s">
        <v>98</v>
      </c>
      <c r="B1" s="190"/>
      <c r="C1" s="190"/>
      <c r="D1" s="190"/>
      <c r="E1" s="191"/>
      <c r="F1" s="191"/>
      <c r="G1" s="50" t="s">
        <v>44</v>
      </c>
      <c r="H1" s="63"/>
      <c r="I1" s="191"/>
      <c r="J1" s="191"/>
      <c r="K1" s="192"/>
      <c r="L1" s="191"/>
      <c r="M1" s="193" t="s">
        <v>94</v>
      </c>
      <c r="N1" s="192">
        <v>2022</v>
      </c>
      <c r="O1" s="16"/>
      <c r="P1" s="16"/>
      <c r="Q1" s="16"/>
    </row>
    <row r="2" spans="1:28" s="17" customFormat="1" ht="10.9" customHeight="1" x14ac:dyDescent="0.2">
      <c r="A2" s="18" t="s">
        <v>3</v>
      </c>
      <c r="B2" s="19"/>
      <c r="C2" s="19"/>
      <c r="D2" s="19"/>
      <c r="E2" s="19"/>
      <c r="F2" s="20"/>
      <c r="G2" s="15"/>
      <c r="H2" s="15"/>
      <c r="I2" s="15"/>
      <c r="J2" s="21"/>
      <c r="K2" s="21"/>
      <c r="L2" s="16"/>
      <c r="M2" s="16"/>
      <c r="N2" s="16"/>
      <c r="O2" s="16"/>
      <c r="P2" s="16"/>
      <c r="Q2" s="16"/>
    </row>
    <row r="3" spans="1:28" s="17" customFormat="1" ht="10.9" customHeight="1" x14ac:dyDescent="0.2">
      <c r="A3" s="22" t="s">
        <v>41</v>
      </c>
      <c r="B3" s="194" t="s">
        <v>40</v>
      </c>
      <c r="C3" s="194"/>
      <c r="D3" s="194"/>
      <c r="E3" s="195" t="s">
        <v>84</v>
      </c>
      <c r="F3" s="195"/>
      <c r="G3" s="23"/>
      <c r="H3" s="23"/>
      <c r="I3" s="23"/>
      <c r="J3" s="23"/>
      <c r="K3" s="23"/>
      <c r="L3" s="24"/>
      <c r="M3" s="24"/>
      <c r="N3" s="24"/>
      <c r="O3" s="24"/>
      <c r="P3" s="24"/>
      <c r="Q3" s="24"/>
    </row>
    <row r="4" spans="1:28" s="17" customFormat="1" ht="10.9" customHeight="1" x14ac:dyDescent="0.2">
      <c r="A4" s="22" t="s">
        <v>42</v>
      </c>
      <c r="B4" s="25" t="s">
        <v>37</v>
      </c>
      <c r="C4" s="25" t="s">
        <v>38</v>
      </c>
      <c r="D4" s="25" t="s">
        <v>39</v>
      </c>
      <c r="E4" s="195" t="s">
        <v>83</v>
      </c>
      <c r="F4" s="195"/>
      <c r="G4" s="22"/>
      <c r="H4" s="22" t="s">
        <v>0</v>
      </c>
      <c r="I4" s="22"/>
      <c r="J4" s="22" t="s">
        <v>5</v>
      </c>
      <c r="K4" s="22"/>
      <c r="L4" s="22" t="s">
        <v>52</v>
      </c>
      <c r="M4" s="22" t="s">
        <v>1</v>
      </c>
      <c r="N4" s="22" t="s">
        <v>2</v>
      </c>
      <c r="O4" s="15"/>
      <c r="P4" s="15"/>
      <c r="Q4" s="15"/>
    </row>
    <row r="5" spans="1:28" s="17" customFormat="1" ht="10.9" customHeight="1" x14ac:dyDescent="0.2">
      <c r="A5" s="26">
        <v>1</v>
      </c>
      <c r="B5" s="1">
        <v>28</v>
      </c>
      <c r="C5" s="26">
        <v>11</v>
      </c>
      <c r="D5" s="27">
        <v>2022</v>
      </c>
      <c r="E5" s="27" t="s">
        <v>79</v>
      </c>
      <c r="F5" s="9">
        <v>7</v>
      </c>
      <c r="G5" s="4" t="s">
        <v>95</v>
      </c>
      <c r="H5" s="4"/>
      <c r="I5" s="28"/>
      <c r="J5" s="5">
        <v>94510000</v>
      </c>
      <c r="K5" s="2">
        <v>1</v>
      </c>
      <c r="L5" s="6">
        <v>78209</v>
      </c>
      <c r="M5" s="29">
        <f t="shared" ref="M5:M10" si="0">ROUND((L5*19%),0)</f>
        <v>14860</v>
      </c>
      <c r="N5" s="29">
        <f>ROUND((L5+M5),0)</f>
        <v>93069</v>
      </c>
      <c r="O5" s="15"/>
      <c r="P5" s="15"/>
      <c r="Q5" s="15"/>
    </row>
    <row r="6" spans="1:28" s="17" customFormat="1" ht="10.9" customHeight="1" x14ac:dyDescent="0.2">
      <c r="A6" s="26">
        <v>2</v>
      </c>
      <c r="B6" s="1"/>
      <c r="C6" s="26">
        <v>11</v>
      </c>
      <c r="D6" s="27">
        <v>2022</v>
      </c>
      <c r="E6" s="27" t="s">
        <v>79</v>
      </c>
      <c r="F6" s="9"/>
      <c r="G6" s="4"/>
      <c r="H6" s="4"/>
      <c r="I6" s="28"/>
      <c r="J6" s="5"/>
      <c r="K6" s="2"/>
      <c r="L6" s="6"/>
      <c r="M6" s="29">
        <f t="shared" si="0"/>
        <v>0</v>
      </c>
      <c r="N6" s="29">
        <f t="shared" ref="N6:N10" si="1">ROUND((L6+M6),0)</f>
        <v>0</v>
      </c>
      <c r="O6" s="15"/>
      <c r="P6" s="15"/>
      <c r="Q6" s="15"/>
    </row>
    <row r="7" spans="1:28" s="17" customFormat="1" ht="10.9" customHeight="1" x14ac:dyDescent="0.2">
      <c r="A7" s="26">
        <v>3</v>
      </c>
      <c r="B7" s="1"/>
      <c r="C7" s="26">
        <v>11</v>
      </c>
      <c r="D7" s="27">
        <v>2022</v>
      </c>
      <c r="E7" s="27" t="s">
        <v>79</v>
      </c>
      <c r="F7" s="9"/>
      <c r="G7" s="4"/>
      <c r="H7" s="28"/>
      <c r="I7" s="28"/>
      <c r="J7" s="5"/>
      <c r="K7" s="2"/>
      <c r="L7" s="6"/>
      <c r="M7" s="29">
        <f t="shared" si="0"/>
        <v>0</v>
      </c>
      <c r="N7" s="29">
        <f t="shared" si="1"/>
        <v>0</v>
      </c>
      <c r="O7" s="15"/>
      <c r="P7" s="15"/>
      <c r="Q7" s="15"/>
      <c r="R7" s="177"/>
      <c r="S7" s="178"/>
      <c r="T7" s="178"/>
      <c r="U7" s="178"/>
      <c r="V7" s="21"/>
    </row>
    <row r="8" spans="1:28" s="17" customFormat="1" ht="10.9" customHeight="1" x14ac:dyDescent="0.2">
      <c r="A8" s="26">
        <v>4</v>
      </c>
      <c r="B8" s="1"/>
      <c r="C8" s="26">
        <v>11</v>
      </c>
      <c r="D8" s="27">
        <v>2022</v>
      </c>
      <c r="E8" s="27" t="s">
        <v>79</v>
      </c>
      <c r="F8" s="9"/>
      <c r="G8" s="4"/>
      <c r="H8" s="28"/>
      <c r="I8" s="28"/>
      <c r="J8" s="5"/>
      <c r="K8" s="2"/>
      <c r="L8" s="6"/>
      <c r="M8" s="29">
        <f t="shared" si="0"/>
        <v>0</v>
      </c>
      <c r="N8" s="29">
        <f t="shared" si="1"/>
        <v>0</v>
      </c>
      <c r="O8" s="15"/>
      <c r="P8" s="15"/>
      <c r="Q8" s="15"/>
      <c r="R8" s="21"/>
      <c r="S8" s="15"/>
      <c r="T8" s="179"/>
      <c r="U8" s="15"/>
      <c r="V8" s="180"/>
      <c r="W8" s="21"/>
      <c r="X8" s="181"/>
      <c r="Y8" s="181"/>
      <c r="Z8" s="67"/>
      <c r="AA8" s="181"/>
      <c r="AB8" s="181"/>
    </row>
    <row r="9" spans="1:28" s="17" customFormat="1" ht="10.9" customHeight="1" x14ac:dyDescent="0.2">
      <c r="A9" s="26">
        <v>5</v>
      </c>
      <c r="B9" s="1"/>
      <c r="C9" s="26">
        <v>11</v>
      </c>
      <c r="D9" s="27">
        <v>2022</v>
      </c>
      <c r="E9" s="27" t="s">
        <v>79</v>
      </c>
      <c r="F9" s="9"/>
      <c r="G9" s="4"/>
      <c r="H9" s="28"/>
      <c r="I9" s="28"/>
      <c r="J9" s="5"/>
      <c r="K9" s="2"/>
      <c r="L9" s="6"/>
      <c r="M9" s="29">
        <f t="shared" si="0"/>
        <v>0</v>
      </c>
      <c r="N9" s="29">
        <f t="shared" si="1"/>
        <v>0</v>
      </c>
      <c r="O9" s="15"/>
      <c r="P9" s="15"/>
      <c r="Q9" s="15"/>
    </row>
    <row r="10" spans="1:28" s="17" customFormat="1" ht="10.9" customHeight="1" x14ac:dyDescent="0.2">
      <c r="A10" s="26">
        <v>6</v>
      </c>
      <c r="B10" s="1"/>
      <c r="C10" s="26">
        <v>11</v>
      </c>
      <c r="D10" s="27">
        <v>2022</v>
      </c>
      <c r="E10" s="27" t="s">
        <v>79</v>
      </c>
      <c r="F10" s="9"/>
      <c r="G10" s="4"/>
      <c r="H10" s="4"/>
      <c r="I10" s="28"/>
      <c r="J10" s="5"/>
      <c r="K10" s="2"/>
      <c r="L10" s="6"/>
      <c r="M10" s="29">
        <f t="shared" si="0"/>
        <v>0</v>
      </c>
      <c r="N10" s="29">
        <f t="shared" si="1"/>
        <v>0</v>
      </c>
      <c r="O10" s="15"/>
      <c r="P10" s="15"/>
      <c r="Q10" s="15"/>
    </row>
    <row r="11" spans="1:28" s="17" customFormat="1" ht="10.9" customHeight="1" x14ac:dyDescent="0.2">
      <c r="A11" s="14" t="s">
        <v>51</v>
      </c>
      <c r="B11" s="30"/>
      <c r="C11" s="30"/>
      <c r="D11" s="31"/>
      <c r="E11" s="31"/>
      <c r="F11" s="32"/>
      <c r="G11" s="33"/>
      <c r="H11" s="33"/>
      <c r="I11" s="33"/>
      <c r="J11" s="31"/>
      <c r="K11" s="31"/>
      <c r="L11" s="34">
        <f>SUM(L5:L10)</f>
        <v>78209</v>
      </c>
      <c r="M11" s="34">
        <f>SUM(M5:M10)</f>
        <v>14860</v>
      </c>
      <c r="N11" s="34">
        <f>SUM(N5:N10)</f>
        <v>93069</v>
      </c>
      <c r="O11" s="15"/>
      <c r="P11" s="15"/>
    </row>
    <row r="12" spans="1:28" s="17" customFormat="1" ht="10.9" customHeight="1" x14ac:dyDescent="0.2">
      <c r="A12" s="35">
        <v>1</v>
      </c>
      <c r="B12" s="35"/>
      <c r="C12" s="35">
        <v>11</v>
      </c>
      <c r="D12" s="36">
        <v>2022</v>
      </c>
      <c r="E12" s="36" t="s">
        <v>80</v>
      </c>
      <c r="F12" s="35"/>
      <c r="G12" s="7"/>
      <c r="H12" s="7"/>
      <c r="I12" s="37"/>
      <c r="J12" s="8"/>
      <c r="K12" s="3"/>
      <c r="L12" s="10"/>
      <c r="M12" s="38">
        <f t="shared" ref="M12:M13" si="2">ROUND((L12*19%),0)</f>
        <v>0</v>
      </c>
      <c r="N12" s="38">
        <f>ROUND((L12+M12),0)</f>
        <v>0</v>
      </c>
      <c r="O12" s="15"/>
      <c r="P12" s="15"/>
      <c r="Q12" s="15"/>
    </row>
    <row r="13" spans="1:28" s="17" customFormat="1" ht="10.9" customHeight="1" x14ac:dyDescent="0.2">
      <c r="A13" s="35">
        <v>2</v>
      </c>
      <c r="B13" s="35"/>
      <c r="C13" s="35">
        <v>11</v>
      </c>
      <c r="D13" s="36">
        <v>2022</v>
      </c>
      <c r="E13" s="36" t="s">
        <v>80</v>
      </c>
      <c r="F13" s="35"/>
      <c r="G13" s="7"/>
      <c r="H13" s="7"/>
      <c r="I13" s="37"/>
      <c r="J13" s="8"/>
      <c r="K13" s="3"/>
      <c r="L13" s="10"/>
      <c r="M13" s="38">
        <f t="shared" si="2"/>
        <v>0</v>
      </c>
      <c r="N13" s="38">
        <f t="shared" ref="N13" si="3">ROUND((L13+M13),0)</f>
        <v>0</v>
      </c>
      <c r="O13" s="15"/>
      <c r="P13" s="15"/>
      <c r="Q13" s="15"/>
    </row>
    <row r="14" spans="1:28" s="17" customFormat="1" ht="10.9" customHeight="1" x14ac:dyDescent="0.2">
      <c r="A14" s="39" t="s">
        <v>50</v>
      </c>
      <c r="B14" s="40"/>
      <c r="C14" s="40"/>
      <c r="D14" s="41"/>
      <c r="E14" s="41"/>
      <c r="F14" s="42"/>
      <c r="G14" s="43"/>
      <c r="H14" s="43"/>
      <c r="I14" s="43"/>
      <c r="J14" s="41"/>
      <c r="K14" s="41"/>
      <c r="L14" s="44">
        <f>SUM(L12:L13)</f>
        <v>0</v>
      </c>
      <c r="M14" s="44">
        <f>SUM(M12:M13)</f>
        <v>0</v>
      </c>
      <c r="N14" s="44">
        <f>SUM(N12:N13)</f>
        <v>0</v>
      </c>
      <c r="O14" s="43"/>
      <c r="P14" s="43"/>
      <c r="Q14" s="15"/>
      <c r="R14" s="15"/>
      <c r="S14" s="15"/>
    </row>
    <row r="15" spans="1:28" s="17" customFormat="1" ht="10.9" customHeight="1" x14ac:dyDescent="0.2">
      <c r="A15" s="45">
        <v>1</v>
      </c>
      <c r="B15" s="45"/>
      <c r="C15" s="45">
        <v>11</v>
      </c>
      <c r="D15" s="46">
        <v>2022</v>
      </c>
      <c r="E15" s="46" t="s">
        <v>81</v>
      </c>
      <c r="F15" s="47"/>
      <c r="G15" s="11"/>
      <c r="H15" s="48"/>
      <c r="I15" s="48"/>
      <c r="J15" s="12"/>
      <c r="K15" s="13"/>
      <c r="L15" s="49"/>
      <c r="M15" s="49">
        <f t="shared" ref="M15:M16" si="4">ROUND((L15*19%),0)</f>
        <v>0</v>
      </c>
      <c r="N15" s="49">
        <f t="shared" ref="N15:N16" si="5">SUM(L15:M15)</f>
        <v>0</v>
      </c>
      <c r="O15" s="43"/>
      <c r="P15" s="43"/>
      <c r="R15" s="15"/>
    </row>
    <row r="16" spans="1:28" s="17" customFormat="1" ht="10.9" customHeight="1" x14ac:dyDescent="0.2">
      <c r="A16" s="45">
        <v>2</v>
      </c>
      <c r="B16" s="45"/>
      <c r="C16" s="45">
        <v>11</v>
      </c>
      <c r="D16" s="46">
        <v>2022</v>
      </c>
      <c r="E16" s="46" t="s">
        <v>81</v>
      </c>
      <c r="F16" s="47"/>
      <c r="G16" s="48"/>
      <c r="H16" s="48"/>
      <c r="I16" s="48"/>
      <c r="J16" s="46"/>
      <c r="K16" s="46"/>
      <c r="L16" s="49"/>
      <c r="M16" s="49">
        <f t="shared" si="4"/>
        <v>0</v>
      </c>
      <c r="N16" s="49">
        <f t="shared" si="5"/>
        <v>0</v>
      </c>
      <c r="O16" s="43"/>
      <c r="P16" s="43"/>
      <c r="Q16" s="15"/>
    </row>
    <row r="17" spans="1:37" s="17" customFormat="1" ht="10.9" customHeight="1" x14ac:dyDescent="0.2">
      <c r="A17" s="50" t="s">
        <v>66</v>
      </c>
      <c r="B17" s="51"/>
      <c r="C17" s="51"/>
      <c r="D17" s="52"/>
      <c r="E17" s="52"/>
      <c r="F17" s="53"/>
      <c r="G17" s="54"/>
      <c r="H17" s="54"/>
      <c r="I17" s="54"/>
      <c r="J17" s="52"/>
      <c r="K17" s="52"/>
      <c r="L17" s="55">
        <f>SUM(L15:L16)</f>
        <v>0</v>
      </c>
      <c r="M17" s="55">
        <f t="shared" ref="M17:N17" si="6">SUM(M15:M16)</f>
        <v>0</v>
      </c>
      <c r="N17" s="55">
        <f t="shared" si="6"/>
        <v>0</v>
      </c>
      <c r="O17" s="43"/>
      <c r="P17" s="43"/>
      <c r="Q17" s="15"/>
    </row>
    <row r="18" spans="1:37" s="17" customFormat="1" ht="10.9" customHeight="1" x14ac:dyDescent="0.2">
      <c r="A18" s="56" t="s">
        <v>16</v>
      </c>
      <c r="B18" s="57"/>
      <c r="C18" s="57"/>
      <c r="D18" s="57"/>
      <c r="E18" s="57"/>
      <c r="F18" s="58"/>
      <c r="G18" s="58"/>
      <c r="H18" s="58"/>
      <c r="I18" s="58"/>
      <c r="J18" s="59"/>
      <c r="K18" s="59"/>
      <c r="L18" s="60">
        <f>+L11+L14+L17</f>
        <v>78209</v>
      </c>
      <c r="M18" s="60">
        <f>+M11+M14+M17</f>
        <v>14860</v>
      </c>
      <c r="N18" s="60">
        <f>+N11+N14+N17</f>
        <v>93069</v>
      </c>
      <c r="O18" s="15"/>
      <c r="P18" s="15"/>
      <c r="Q18" s="15"/>
      <c r="S18" s="61"/>
      <c r="T18" s="62"/>
      <c r="U18" s="63"/>
    </row>
    <row r="19" spans="1:37" ht="10.9" customHeight="1" x14ac:dyDescent="0.2">
      <c r="S19" s="61"/>
      <c r="T19" s="62"/>
      <c r="U19" s="63"/>
    </row>
    <row r="20" spans="1:37" s="17" customFormat="1" ht="10.9" customHeight="1" x14ac:dyDescent="0.2">
      <c r="A20" s="64" t="s">
        <v>6</v>
      </c>
      <c r="B20" s="65"/>
      <c r="C20" s="65"/>
      <c r="D20" s="65"/>
      <c r="E20" s="66"/>
      <c r="F20" s="66"/>
      <c r="G20" s="15"/>
      <c r="H20" s="15"/>
      <c r="I20" s="15"/>
      <c r="J20" s="21"/>
      <c r="K20" s="21"/>
      <c r="L20" s="67"/>
      <c r="M20" s="16"/>
      <c r="N20" s="16"/>
      <c r="O20" s="16"/>
      <c r="P20" s="16"/>
      <c r="Q20" s="16"/>
      <c r="S20" s="61"/>
      <c r="T20" s="62"/>
      <c r="U20" s="6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10.9" customHeight="1" x14ac:dyDescent="0.2">
      <c r="A21" s="68" t="s">
        <v>41</v>
      </c>
      <c r="B21" s="69" t="s">
        <v>37</v>
      </c>
      <c r="C21" s="69" t="s">
        <v>38</v>
      </c>
      <c r="D21" s="69" t="s">
        <v>39</v>
      </c>
      <c r="E21" s="196" t="s">
        <v>73</v>
      </c>
      <c r="F21" s="196"/>
      <c r="G21" s="68"/>
      <c r="H21" s="68" t="s">
        <v>4</v>
      </c>
      <c r="I21" s="68"/>
      <c r="J21" s="68" t="s">
        <v>5</v>
      </c>
      <c r="K21" s="68"/>
      <c r="L21" s="68" t="s">
        <v>52</v>
      </c>
      <c r="M21" s="68" t="s">
        <v>35</v>
      </c>
      <c r="N21" s="68" t="s">
        <v>1</v>
      </c>
      <c r="O21" s="68" t="s">
        <v>61</v>
      </c>
      <c r="P21" s="68" t="s">
        <v>2</v>
      </c>
    </row>
    <row r="22" spans="1:37" ht="10.9" customHeight="1" x14ac:dyDescent="0.2">
      <c r="A22" s="70">
        <v>1</v>
      </c>
      <c r="B22" s="71">
        <v>28</v>
      </c>
      <c r="C22" s="71">
        <v>11</v>
      </c>
      <c r="D22" s="71">
        <v>2022</v>
      </c>
      <c r="E22" s="72" t="s">
        <v>79</v>
      </c>
      <c r="F22" s="72">
        <v>55669</v>
      </c>
      <c r="G22" s="66" t="s">
        <v>88</v>
      </c>
      <c r="H22" s="73"/>
      <c r="I22" s="66"/>
      <c r="J22" s="74">
        <v>77617950</v>
      </c>
      <c r="K22" s="72">
        <v>7</v>
      </c>
      <c r="L22" s="75">
        <v>22536</v>
      </c>
      <c r="M22" s="75">
        <v>0</v>
      </c>
      <c r="N22" s="75">
        <v>4282</v>
      </c>
      <c r="O22" s="75">
        <v>0</v>
      </c>
      <c r="P22" s="75">
        <f>SUM(L22:O22)</f>
        <v>26818</v>
      </c>
      <c r="R22" s="183"/>
      <c r="S22" s="183"/>
      <c r="T22" s="183"/>
      <c r="U22" s="183"/>
      <c r="V22" s="183"/>
    </row>
    <row r="23" spans="1:37" ht="10.9" customHeight="1" x14ac:dyDescent="0.2">
      <c r="A23" s="70">
        <v>2</v>
      </c>
      <c r="B23" s="71"/>
      <c r="C23" s="71">
        <v>11</v>
      </c>
      <c r="D23" s="71">
        <v>2022</v>
      </c>
      <c r="E23" s="72" t="s">
        <v>79</v>
      </c>
      <c r="F23" s="72"/>
      <c r="G23" s="66"/>
      <c r="H23" s="73"/>
      <c r="I23" s="66"/>
      <c r="J23" s="74"/>
      <c r="K23" s="72"/>
      <c r="L23" s="75">
        <v>0</v>
      </c>
      <c r="M23" s="75">
        <v>0</v>
      </c>
      <c r="N23" s="76">
        <v>0</v>
      </c>
      <c r="O23" s="75">
        <v>0</v>
      </c>
      <c r="P23" s="75">
        <f>SUM(L23:O23)</f>
        <v>0</v>
      </c>
      <c r="U23" s="67"/>
      <c r="V23" s="21"/>
    </row>
    <row r="24" spans="1:37" ht="10.9" customHeight="1" x14ac:dyDescent="0.2">
      <c r="A24" s="70">
        <v>3</v>
      </c>
      <c r="B24" s="71"/>
      <c r="C24" s="71">
        <v>11</v>
      </c>
      <c r="D24" s="71">
        <v>2022</v>
      </c>
      <c r="E24" s="72" t="s">
        <v>79</v>
      </c>
      <c r="F24" s="72"/>
      <c r="G24" s="66"/>
      <c r="H24" s="73"/>
      <c r="I24" s="66"/>
      <c r="J24" s="74"/>
      <c r="K24" s="72"/>
      <c r="L24" s="77">
        <v>0</v>
      </c>
      <c r="M24" s="75">
        <v>0</v>
      </c>
      <c r="N24" s="76">
        <v>0</v>
      </c>
      <c r="O24" s="76">
        <v>0</v>
      </c>
      <c r="P24" s="76">
        <f>SUM(L24:O24)</f>
        <v>0</v>
      </c>
      <c r="U24" s="17"/>
      <c r="W24" s="166"/>
    </row>
    <row r="25" spans="1:37" ht="10.9" customHeight="1" x14ac:dyDescent="0.2">
      <c r="A25" s="70">
        <v>4</v>
      </c>
      <c r="B25" s="71"/>
      <c r="C25" s="71">
        <v>11</v>
      </c>
      <c r="D25" s="71">
        <v>2022</v>
      </c>
      <c r="E25" s="72" t="s">
        <v>79</v>
      </c>
      <c r="F25" s="78"/>
      <c r="G25" s="66"/>
      <c r="H25" s="73"/>
      <c r="I25" s="66"/>
      <c r="J25" s="74"/>
      <c r="K25" s="72"/>
      <c r="L25" s="75">
        <v>0</v>
      </c>
      <c r="M25" s="75">
        <v>0</v>
      </c>
      <c r="N25" s="76">
        <v>0</v>
      </c>
      <c r="O25" s="76">
        <v>0</v>
      </c>
      <c r="P25" s="76">
        <f>SUM(L25:O25)</f>
        <v>0</v>
      </c>
      <c r="U25" s="17"/>
      <c r="W25" s="31"/>
    </row>
    <row r="26" spans="1:37" ht="10.9" customHeight="1" x14ac:dyDescent="0.2">
      <c r="A26" s="14" t="s">
        <v>49</v>
      </c>
      <c r="B26" s="30"/>
      <c r="C26" s="30"/>
      <c r="D26" s="30"/>
      <c r="E26" s="79"/>
      <c r="F26" s="32"/>
      <c r="G26" s="33"/>
      <c r="H26" s="33"/>
      <c r="I26" s="33"/>
      <c r="J26" s="31"/>
      <c r="K26" s="31"/>
      <c r="L26" s="34">
        <f>SUM(L22:L25)</f>
        <v>22536</v>
      </c>
      <c r="M26" s="34">
        <f t="shared" ref="M26:P26" si="7">SUM(M22:M25)</f>
        <v>0</v>
      </c>
      <c r="N26" s="34">
        <f t="shared" si="7"/>
        <v>4282</v>
      </c>
      <c r="O26" s="34">
        <f t="shared" si="7"/>
        <v>0</v>
      </c>
      <c r="P26" s="34">
        <f t="shared" si="7"/>
        <v>26818</v>
      </c>
      <c r="R26" s="15"/>
      <c r="S26" s="67"/>
      <c r="U26" s="67"/>
      <c r="V26" s="170"/>
      <c r="W26" s="167"/>
    </row>
    <row r="27" spans="1:37" ht="10.9" customHeight="1" x14ac:dyDescent="0.2">
      <c r="A27" s="80">
        <v>1</v>
      </c>
      <c r="B27" s="80"/>
      <c r="C27" s="80">
        <v>11</v>
      </c>
      <c r="D27" s="80">
        <v>2022</v>
      </c>
      <c r="E27" s="81" t="s">
        <v>80</v>
      </c>
      <c r="F27" s="82"/>
      <c r="G27" s="83"/>
      <c r="H27" s="84"/>
      <c r="I27" s="83"/>
      <c r="J27" s="85"/>
      <c r="K27" s="86"/>
      <c r="L27" s="87"/>
      <c r="M27" s="88">
        <v>0</v>
      </c>
      <c r="N27" s="88">
        <f t="shared" ref="N27:N28" si="8">ROUND((L27*19%),0)</f>
        <v>0</v>
      </c>
      <c r="O27" s="88">
        <v>0</v>
      </c>
      <c r="P27" s="88">
        <f>SUM(L27:O27)</f>
        <v>0</v>
      </c>
      <c r="R27" s="15"/>
      <c r="S27" s="17"/>
      <c r="U27" s="17"/>
      <c r="V27" s="170"/>
      <c r="W27" s="167"/>
    </row>
    <row r="28" spans="1:37" ht="10.9" customHeight="1" x14ac:dyDescent="0.2">
      <c r="A28" s="80">
        <v>2</v>
      </c>
      <c r="B28" s="80"/>
      <c r="C28" s="80">
        <v>11</v>
      </c>
      <c r="D28" s="80">
        <v>2022</v>
      </c>
      <c r="E28" s="81" t="s">
        <v>80</v>
      </c>
      <c r="F28" s="82"/>
      <c r="G28" s="83"/>
      <c r="H28" s="84"/>
      <c r="I28" s="83"/>
      <c r="J28" s="85"/>
      <c r="K28" s="86"/>
      <c r="L28" s="88"/>
      <c r="M28" s="88">
        <v>0</v>
      </c>
      <c r="N28" s="88">
        <f t="shared" si="8"/>
        <v>0</v>
      </c>
      <c r="O28" s="88">
        <v>0</v>
      </c>
      <c r="P28" s="88">
        <f>SUM(L28:O28)</f>
        <v>0</v>
      </c>
      <c r="R28" s="15"/>
      <c r="U28" s="17"/>
      <c r="V28" s="170"/>
      <c r="W28" s="167"/>
    </row>
    <row r="29" spans="1:37" ht="10.9" customHeight="1" x14ac:dyDescent="0.2">
      <c r="A29" s="39" t="s">
        <v>48</v>
      </c>
      <c r="B29" s="40"/>
      <c r="C29" s="40"/>
      <c r="D29" s="40"/>
      <c r="E29" s="89"/>
      <c r="F29" s="42"/>
      <c r="G29" s="43"/>
      <c r="H29" s="43"/>
      <c r="I29" s="43"/>
      <c r="J29" s="41"/>
      <c r="K29" s="41"/>
      <c r="L29" s="44">
        <f>SUM(L27:L28)</f>
        <v>0</v>
      </c>
      <c r="M29" s="44">
        <f>SUM(M27:M28)</f>
        <v>0</v>
      </c>
      <c r="N29" s="44">
        <f>SUM(N27:N28)</f>
        <v>0</v>
      </c>
      <c r="O29" s="44">
        <f>SUM(O27:O28)</f>
        <v>0</v>
      </c>
      <c r="P29" s="44">
        <f>SUM(P27:P28)</f>
        <v>0</v>
      </c>
      <c r="R29" s="15"/>
      <c r="U29" s="17"/>
      <c r="V29" s="170"/>
      <c r="W29" s="167"/>
    </row>
    <row r="30" spans="1:37" ht="10.9" customHeight="1" x14ac:dyDescent="0.2">
      <c r="A30" s="90" t="s">
        <v>17</v>
      </c>
      <c r="B30" s="69"/>
      <c r="C30" s="69"/>
      <c r="D30" s="69"/>
      <c r="E30" s="69"/>
      <c r="F30" s="91"/>
      <c r="G30" s="91"/>
      <c r="H30" s="91"/>
      <c r="I30" s="91"/>
      <c r="J30" s="92"/>
      <c r="K30" s="92"/>
      <c r="L30" s="93">
        <f>+L26+L29</f>
        <v>22536</v>
      </c>
      <c r="M30" s="93">
        <f>+M26-M29</f>
        <v>0</v>
      </c>
      <c r="N30" s="93">
        <f>N26+N29</f>
        <v>4282</v>
      </c>
      <c r="O30" s="93">
        <f>+O26-O29</f>
        <v>0</v>
      </c>
      <c r="P30" s="93">
        <f>+P26+P29</f>
        <v>26818</v>
      </c>
      <c r="R30" s="15"/>
      <c r="S30" s="17"/>
      <c r="U30" s="17"/>
      <c r="V30" s="170"/>
      <c r="W30" s="167"/>
    </row>
    <row r="31" spans="1:37" ht="10.9" customHeight="1" x14ac:dyDescent="0.2">
      <c r="R31" s="15"/>
      <c r="U31" s="17"/>
      <c r="V31" s="170"/>
      <c r="W31" s="168"/>
    </row>
    <row r="32" spans="1:37" ht="10.9" customHeight="1" x14ac:dyDescent="0.2">
      <c r="A32" s="139" t="s">
        <v>7</v>
      </c>
      <c r="B32" s="140"/>
      <c r="C32" s="140"/>
      <c r="D32" s="140"/>
      <c r="E32" s="140"/>
      <c r="F32" s="141"/>
      <c r="J32" s="21"/>
      <c r="K32" s="21"/>
      <c r="L32" s="16"/>
      <c r="M32" s="16"/>
      <c r="N32" s="16"/>
      <c r="O32" s="16"/>
      <c r="P32" s="16"/>
      <c r="Q32" s="16"/>
      <c r="R32" s="15"/>
      <c r="U32" s="17"/>
      <c r="V32" s="170"/>
      <c r="W32" s="169"/>
    </row>
    <row r="33" spans="1:28" ht="10.9" customHeight="1" x14ac:dyDescent="0.2">
      <c r="A33" s="142" t="s">
        <v>41</v>
      </c>
      <c r="B33" s="143" t="s">
        <v>72</v>
      </c>
      <c r="C33" s="143" t="s">
        <v>38</v>
      </c>
      <c r="D33" s="143" t="s">
        <v>39</v>
      </c>
      <c r="E33" s="197" t="s">
        <v>43</v>
      </c>
      <c r="F33" s="197"/>
      <c r="G33" s="142"/>
      <c r="H33" s="142" t="s">
        <v>8</v>
      </c>
      <c r="I33" s="142"/>
      <c r="J33" s="142" t="s">
        <v>5</v>
      </c>
      <c r="K33" s="142"/>
      <c r="L33" s="142" t="s">
        <v>9</v>
      </c>
      <c r="M33" s="142" t="s">
        <v>69</v>
      </c>
      <c r="N33" s="142" t="s">
        <v>10</v>
      </c>
      <c r="R33" s="15"/>
      <c r="U33" s="17"/>
      <c r="V33" s="170"/>
      <c r="W33" s="170"/>
    </row>
    <row r="34" spans="1:28" ht="10.9" customHeight="1" x14ac:dyDescent="0.2">
      <c r="A34" s="144">
        <v>1</v>
      </c>
      <c r="B34" s="145"/>
      <c r="C34" s="145">
        <v>11</v>
      </c>
      <c r="D34" s="145">
        <v>2022</v>
      </c>
      <c r="E34" s="146" t="s">
        <v>82</v>
      </c>
      <c r="F34" s="147"/>
      <c r="G34" s="151"/>
      <c r="H34" s="152"/>
      <c r="I34" s="152"/>
      <c r="J34" s="153"/>
      <c r="K34" s="146"/>
      <c r="L34" s="154"/>
      <c r="M34" s="155">
        <f>+L34*0.1225</f>
        <v>0</v>
      </c>
      <c r="N34" s="155">
        <f>+L34-M34</f>
        <v>0</v>
      </c>
      <c r="R34" s="15"/>
      <c r="S34" s="17"/>
      <c r="U34" s="17"/>
      <c r="V34" s="170"/>
      <c r="W34" s="169"/>
    </row>
    <row r="35" spans="1:28" ht="10.9" customHeight="1" x14ac:dyDescent="0.2">
      <c r="A35" s="144">
        <v>2</v>
      </c>
      <c r="B35" s="145"/>
      <c r="C35" s="145">
        <v>11</v>
      </c>
      <c r="D35" s="145">
        <v>2022</v>
      </c>
      <c r="E35" s="146" t="s">
        <v>82</v>
      </c>
      <c r="F35" s="147"/>
      <c r="G35" s="151"/>
      <c r="H35" s="152"/>
      <c r="I35" s="152"/>
      <c r="J35" s="153"/>
      <c r="K35" s="146"/>
      <c r="L35" s="154"/>
      <c r="M35" s="155">
        <f t="shared" ref="M35" si="9">+L35*0.1225</f>
        <v>0</v>
      </c>
      <c r="N35" s="155">
        <f t="shared" ref="N35" si="10">+L35-M35</f>
        <v>0</v>
      </c>
      <c r="R35" s="15"/>
      <c r="S35" s="17"/>
      <c r="U35" s="17"/>
      <c r="V35" s="170"/>
      <c r="W35" s="168"/>
    </row>
    <row r="36" spans="1:28" ht="10.9" customHeight="1" x14ac:dyDescent="0.2">
      <c r="A36" s="148" t="s">
        <v>18</v>
      </c>
      <c r="B36" s="149"/>
      <c r="C36" s="149"/>
      <c r="D36" s="149"/>
      <c r="E36" s="143"/>
      <c r="F36" s="150"/>
      <c r="G36" s="150"/>
      <c r="H36" s="150"/>
      <c r="I36" s="150"/>
      <c r="J36" s="156"/>
      <c r="K36" s="156"/>
      <c r="L36" s="157">
        <f>SUM(L34:L35)</f>
        <v>0</v>
      </c>
      <c r="M36" s="157">
        <f>SUM(M34:M35)</f>
        <v>0</v>
      </c>
      <c r="N36" s="157">
        <f>SUM(N34:N35)</f>
        <v>0</v>
      </c>
      <c r="R36" s="15"/>
      <c r="U36" s="17"/>
      <c r="V36" s="170"/>
      <c r="W36" s="169"/>
    </row>
    <row r="38" spans="1:28" ht="10.9" customHeight="1" x14ac:dyDescent="0.2">
      <c r="A38" s="199" t="s">
        <v>93</v>
      </c>
      <c r="B38" s="199"/>
      <c r="C38" s="199"/>
      <c r="D38" s="199"/>
      <c r="E38" s="199"/>
      <c r="F38" s="199"/>
      <c r="G38" s="200" t="s">
        <v>55</v>
      </c>
      <c r="H38" s="200"/>
      <c r="I38" s="200"/>
      <c r="J38" s="200"/>
      <c r="K38" s="200"/>
      <c r="L38" s="201" t="s">
        <v>85</v>
      </c>
      <c r="M38" s="201"/>
      <c r="N38" s="201"/>
      <c r="O38" s="201"/>
      <c r="P38" s="201"/>
      <c r="Q38" s="202" t="s">
        <v>77</v>
      </c>
      <c r="R38" s="202"/>
      <c r="S38" s="203" t="s">
        <v>75</v>
      </c>
      <c r="T38" s="203"/>
      <c r="U38" s="203"/>
      <c r="V38" s="204" t="s">
        <v>12</v>
      </c>
      <c r="W38" s="204"/>
      <c r="X38" s="198" t="s">
        <v>71</v>
      </c>
      <c r="Y38" s="198"/>
      <c r="Z38" s="198"/>
      <c r="AA38" s="198"/>
      <c r="AB38" s="198"/>
    </row>
    <row r="39" spans="1:28" ht="10.9" customHeight="1" x14ac:dyDescent="0.2">
      <c r="A39" s="97" t="s">
        <v>11</v>
      </c>
      <c r="B39" s="98" t="s">
        <v>47</v>
      </c>
      <c r="C39" s="94"/>
      <c r="D39" s="94"/>
      <c r="E39" s="94"/>
      <c r="F39" s="95">
        <f>+L18</f>
        <v>78209</v>
      </c>
      <c r="G39" s="96" t="s">
        <v>53</v>
      </c>
      <c r="H39" s="99" t="s">
        <v>52</v>
      </c>
      <c r="I39" s="99" t="s">
        <v>1</v>
      </c>
      <c r="J39" s="99" t="s">
        <v>2</v>
      </c>
      <c r="K39" s="100"/>
      <c r="L39" s="102" t="s">
        <v>52</v>
      </c>
      <c r="M39" s="103" t="s">
        <v>35</v>
      </c>
      <c r="N39" s="102" t="s">
        <v>1</v>
      </c>
      <c r="O39" s="103" t="s">
        <v>68</v>
      </c>
      <c r="P39" s="103" t="s">
        <v>2</v>
      </c>
      <c r="Q39" s="171" t="s">
        <v>78</v>
      </c>
      <c r="R39" s="171" t="s">
        <v>60</v>
      </c>
      <c r="S39" s="104" t="s">
        <v>9</v>
      </c>
      <c r="T39" s="105" t="s">
        <v>76</v>
      </c>
      <c r="U39" s="106" t="s">
        <v>10</v>
      </c>
      <c r="V39" s="101" t="s">
        <v>56</v>
      </c>
      <c r="W39" s="101" t="s">
        <v>57</v>
      </c>
      <c r="X39" s="136" t="s">
        <v>58</v>
      </c>
      <c r="Y39" s="136" t="s">
        <v>70</v>
      </c>
      <c r="Z39" s="136" t="s">
        <v>62</v>
      </c>
      <c r="AA39" s="136" t="s">
        <v>74</v>
      </c>
      <c r="AB39" s="136" t="s">
        <v>59</v>
      </c>
    </row>
    <row r="40" spans="1:28" ht="10.9" customHeight="1" x14ac:dyDescent="0.2">
      <c r="A40" s="97" t="s">
        <v>11</v>
      </c>
      <c r="B40" s="98" t="s">
        <v>13</v>
      </c>
      <c r="C40" s="98"/>
      <c r="D40" s="98"/>
      <c r="E40" s="98"/>
      <c r="F40" s="95">
        <f>+M11</f>
        <v>14860</v>
      </c>
      <c r="G40" s="100" t="s">
        <v>22</v>
      </c>
      <c r="H40" s="107">
        <v>0</v>
      </c>
      <c r="I40" s="107">
        <f t="shared" ref="I40:I51" si="11">ROUND((H40*0.19),0)</f>
        <v>0</v>
      </c>
      <c r="J40" s="107">
        <f>SUM(H40:I40)</f>
        <v>0</v>
      </c>
      <c r="K40" s="100"/>
      <c r="L40" s="110">
        <v>0</v>
      </c>
      <c r="M40" s="110">
        <v>0</v>
      </c>
      <c r="N40" s="110">
        <v>0</v>
      </c>
      <c r="O40" s="111">
        <v>0</v>
      </c>
      <c r="P40" s="111">
        <f>SUM(L40:O40)</f>
        <v>0</v>
      </c>
      <c r="Q40" s="172">
        <v>0</v>
      </c>
      <c r="R40" s="172">
        <v>0</v>
      </c>
      <c r="S40" s="112">
        <v>0</v>
      </c>
      <c r="T40" s="112">
        <f>+S40*0.1225</f>
        <v>0</v>
      </c>
      <c r="U40" s="112">
        <f t="shared" ref="U40:U51" si="12">+S40-T40</f>
        <v>0</v>
      </c>
      <c r="V40" s="108"/>
      <c r="W40" s="109">
        <f t="shared" ref="W40:W51" si="13">ROUND((H40*V40),2)</f>
        <v>0</v>
      </c>
      <c r="X40" s="137">
        <v>0</v>
      </c>
      <c r="Y40" s="137">
        <v>0</v>
      </c>
      <c r="Z40" s="137">
        <v>0</v>
      </c>
      <c r="AA40" s="137">
        <v>0</v>
      </c>
      <c r="AB40" s="137">
        <v>0</v>
      </c>
    </row>
    <row r="41" spans="1:28" ht="10.9" customHeight="1" x14ac:dyDescent="0.2">
      <c r="A41" s="97" t="s">
        <v>11</v>
      </c>
      <c r="B41" s="113" t="s">
        <v>45</v>
      </c>
      <c r="C41" s="98"/>
      <c r="D41" s="98"/>
      <c r="E41" s="98"/>
      <c r="F41" s="114">
        <f>+M14</f>
        <v>0</v>
      </c>
      <c r="G41" s="100" t="s">
        <v>23</v>
      </c>
      <c r="H41" s="107">
        <v>0</v>
      </c>
      <c r="I41" s="107">
        <f t="shared" si="11"/>
        <v>0</v>
      </c>
      <c r="J41" s="107">
        <f t="shared" ref="J41:J51" si="14">SUM(H41:I41)</f>
        <v>0</v>
      </c>
      <c r="K41" s="100"/>
      <c r="L41" s="110">
        <v>0</v>
      </c>
      <c r="M41" s="110">
        <v>0</v>
      </c>
      <c r="N41" s="110">
        <v>0</v>
      </c>
      <c r="O41" s="111">
        <v>0</v>
      </c>
      <c r="P41" s="111">
        <f t="shared" ref="P41:P51" si="15">SUM(L41:O41)</f>
        <v>0</v>
      </c>
      <c r="Q41" s="172">
        <v>0</v>
      </c>
      <c r="R41" s="172">
        <v>0</v>
      </c>
      <c r="S41" s="112">
        <v>0</v>
      </c>
      <c r="T41" s="112">
        <f t="shared" ref="T41:T51" si="16">+S41*0.1225</f>
        <v>0</v>
      </c>
      <c r="U41" s="112">
        <f t="shared" si="12"/>
        <v>0</v>
      </c>
      <c r="V41" s="108"/>
      <c r="W41" s="109">
        <f t="shared" si="13"/>
        <v>0</v>
      </c>
      <c r="X41" s="137">
        <v>0</v>
      </c>
      <c r="Y41" s="137">
        <v>0</v>
      </c>
      <c r="Z41" s="137">
        <v>0</v>
      </c>
      <c r="AA41" s="137">
        <v>0</v>
      </c>
      <c r="AB41" s="137">
        <v>0</v>
      </c>
    </row>
    <row r="42" spans="1:28" s="17" customFormat="1" ht="10.9" customHeight="1" x14ac:dyDescent="0.2">
      <c r="A42" s="97" t="s">
        <v>11</v>
      </c>
      <c r="B42" s="115" t="s">
        <v>65</v>
      </c>
      <c r="C42" s="115"/>
      <c r="D42" s="98"/>
      <c r="E42" s="98"/>
      <c r="F42" s="116">
        <v>0</v>
      </c>
      <c r="G42" s="100" t="s">
        <v>24</v>
      </c>
      <c r="H42" s="107">
        <v>0</v>
      </c>
      <c r="I42" s="107">
        <f t="shared" si="11"/>
        <v>0</v>
      </c>
      <c r="J42" s="107">
        <f t="shared" si="14"/>
        <v>0</v>
      </c>
      <c r="K42" s="100"/>
      <c r="L42" s="110">
        <v>0</v>
      </c>
      <c r="M42" s="110">
        <v>0</v>
      </c>
      <c r="N42" s="110">
        <v>0</v>
      </c>
      <c r="O42" s="111">
        <v>0</v>
      </c>
      <c r="P42" s="111">
        <f t="shared" si="15"/>
        <v>0</v>
      </c>
      <c r="Q42" s="172">
        <v>0</v>
      </c>
      <c r="R42" s="172">
        <v>0</v>
      </c>
      <c r="S42" s="112">
        <v>0</v>
      </c>
      <c r="T42" s="112">
        <f t="shared" si="16"/>
        <v>0</v>
      </c>
      <c r="U42" s="112">
        <f t="shared" si="12"/>
        <v>0</v>
      </c>
      <c r="V42" s="108"/>
      <c r="W42" s="109">
        <f t="shared" si="13"/>
        <v>0</v>
      </c>
      <c r="X42" s="137">
        <v>0</v>
      </c>
      <c r="Y42" s="137">
        <v>0</v>
      </c>
      <c r="Z42" s="137">
        <v>0</v>
      </c>
      <c r="AA42" s="137">
        <v>0</v>
      </c>
      <c r="AB42" s="137">
        <v>0</v>
      </c>
    </row>
    <row r="43" spans="1:28" s="17" customFormat="1" ht="10.9" customHeight="1" x14ac:dyDescent="0.2">
      <c r="A43" s="97" t="s">
        <v>11</v>
      </c>
      <c r="B43" s="98" t="s">
        <v>63</v>
      </c>
      <c r="C43" s="98"/>
      <c r="D43" s="98"/>
      <c r="E43" s="98"/>
      <c r="F43" s="117">
        <f>SUM(F40:F41)</f>
        <v>14860</v>
      </c>
      <c r="G43" s="100" t="s">
        <v>25</v>
      </c>
      <c r="H43" s="107">
        <v>0</v>
      </c>
      <c r="I43" s="107">
        <f t="shared" si="11"/>
        <v>0</v>
      </c>
      <c r="J43" s="107">
        <f t="shared" si="14"/>
        <v>0</v>
      </c>
      <c r="K43" s="107"/>
      <c r="L43" s="110">
        <v>0</v>
      </c>
      <c r="M43" s="110">
        <v>0</v>
      </c>
      <c r="N43" s="110">
        <v>0</v>
      </c>
      <c r="O43" s="111">
        <v>0</v>
      </c>
      <c r="P43" s="111">
        <f t="shared" si="15"/>
        <v>0</v>
      </c>
      <c r="Q43" s="172">
        <v>0</v>
      </c>
      <c r="R43" s="172">
        <v>0</v>
      </c>
      <c r="S43" s="112">
        <v>0</v>
      </c>
      <c r="T43" s="112">
        <f t="shared" si="16"/>
        <v>0</v>
      </c>
      <c r="U43" s="112">
        <f t="shared" si="12"/>
        <v>0</v>
      </c>
      <c r="V43" s="108"/>
      <c r="W43" s="109">
        <f t="shared" si="13"/>
        <v>0</v>
      </c>
      <c r="X43" s="137">
        <v>0</v>
      </c>
      <c r="Y43" s="137">
        <v>0</v>
      </c>
      <c r="Z43" s="137">
        <v>0</v>
      </c>
      <c r="AA43" s="137">
        <v>0</v>
      </c>
      <c r="AB43" s="137">
        <v>0</v>
      </c>
    </row>
    <row r="44" spans="1:28" s="17" customFormat="1" ht="10.9" customHeight="1" x14ac:dyDescent="0.2">
      <c r="A44" s="97" t="s">
        <v>11</v>
      </c>
      <c r="B44" s="113" t="s">
        <v>14</v>
      </c>
      <c r="C44" s="98"/>
      <c r="D44" s="98"/>
      <c r="E44" s="98"/>
      <c r="F44" s="114">
        <f>-N26</f>
        <v>-4282</v>
      </c>
      <c r="G44" s="100" t="s">
        <v>26</v>
      </c>
      <c r="H44" s="107">
        <v>0</v>
      </c>
      <c r="I44" s="107">
        <f t="shared" si="11"/>
        <v>0</v>
      </c>
      <c r="J44" s="107">
        <f t="shared" si="14"/>
        <v>0</v>
      </c>
      <c r="K44" s="107"/>
      <c r="L44" s="110">
        <v>0</v>
      </c>
      <c r="M44" s="110">
        <v>0</v>
      </c>
      <c r="N44" s="110">
        <v>0</v>
      </c>
      <c r="O44" s="111">
        <v>0</v>
      </c>
      <c r="P44" s="111">
        <f t="shared" si="15"/>
        <v>0</v>
      </c>
      <c r="Q44" s="172">
        <v>0</v>
      </c>
      <c r="R44" s="172">
        <v>0</v>
      </c>
      <c r="S44" s="112">
        <v>0</v>
      </c>
      <c r="T44" s="112">
        <f t="shared" si="16"/>
        <v>0</v>
      </c>
      <c r="U44" s="112">
        <f t="shared" si="12"/>
        <v>0</v>
      </c>
      <c r="V44" s="108"/>
      <c r="W44" s="109">
        <f t="shared" si="13"/>
        <v>0</v>
      </c>
      <c r="X44" s="137">
        <v>0</v>
      </c>
      <c r="Y44" s="137">
        <v>0</v>
      </c>
      <c r="Z44" s="137">
        <v>0</v>
      </c>
      <c r="AA44" s="137">
        <v>0</v>
      </c>
      <c r="AB44" s="137">
        <v>0</v>
      </c>
    </row>
    <row r="45" spans="1:28" s="17" customFormat="1" ht="10.9" customHeight="1" x14ac:dyDescent="0.2">
      <c r="A45" s="97" t="s">
        <v>11</v>
      </c>
      <c r="B45" s="98" t="s">
        <v>46</v>
      </c>
      <c r="C45" s="98"/>
      <c r="D45" s="98"/>
      <c r="E45" s="98"/>
      <c r="F45" s="95">
        <f>-N29</f>
        <v>0</v>
      </c>
      <c r="G45" s="100" t="s">
        <v>27</v>
      </c>
      <c r="H45" s="107">
        <v>0</v>
      </c>
      <c r="I45" s="107">
        <f t="shared" si="11"/>
        <v>0</v>
      </c>
      <c r="J45" s="107">
        <f t="shared" si="14"/>
        <v>0</v>
      </c>
      <c r="K45" s="107"/>
      <c r="L45" s="110">
        <v>0</v>
      </c>
      <c r="M45" s="110">
        <v>0</v>
      </c>
      <c r="N45" s="110">
        <v>0</v>
      </c>
      <c r="O45" s="111">
        <v>0</v>
      </c>
      <c r="P45" s="111">
        <f t="shared" si="15"/>
        <v>0</v>
      </c>
      <c r="Q45" s="172">
        <v>0</v>
      </c>
      <c r="R45" s="172">
        <v>0</v>
      </c>
      <c r="S45" s="112">
        <v>0</v>
      </c>
      <c r="T45" s="112">
        <f t="shared" si="16"/>
        <v>0</v>
      </c>
      <c r="U45" s="112">
        <f t="shared" si="12"/>
        <v>0</v>
      </c>
      <c r="V45" s="108"/>
      <c r="W45" s="109">
        <f t="shared" si="13"/>
        <v>0</v>
      </c>
      <c r="X45" s="137">
        <v>0</v>
      </c>
      <c r="Y45" s="137">
        <v>0</v>
      </c>
      <c r="Z45" s="137">
        <v>0</v>
      </c>
      <c r="AA45" s="137">
        <v>0</v>
      </c>
      <c r="AB45" s="137">
        <v>0</v>
      </c>
    </row>
    <row r="46" spans="1:28" s="17" customFormat="1" ht="10.9" customHeight="1" x14ac:dyDescent="0.2">
      <c r="A46" s="97" t="s">
        <v>11</v>
      </c>
      <c r="B46" s="98" t="s">
        <v>15</v>
      </c>
      <c r="C46" s="98"/>
      <c r="D46" s="98"/>
      <c r="E46" s="98"/>
      <c r="F46" s="95">
        <f>SUM(F43:F45)</f>
        <v>10578</v>
      </c>
      <c r="G46" s="100" t="s">
        <v>28</v>
      </c>
      <c r="H46" s="107">
        <v>0</v>
      </c>
      <c r="I46" s="107">
        <f t="shared" si="11"/>
        <v>0</v>
      </c>
      <c r="J46" s="107">
        <f t="shared" si="14"/>
        <v>0</v>
      </c>
      <c r="K46" s="107"/>
      <c r="L46" s="110">
        <v>0</v>
      </c>
      <c r="M46" s="110">
        <v>0</v>
      </c>
      <c r="N46" s="110">
        <v>0</v>
      </c>
      <c r="O46" s="111">
        <v>0</v>
      </c>
      <c r="P46" s="111">
        <f t="shared" si="15"/>
        <v>0</v>
      </c>
      <c r="Q46" s="172">
        <v>0</v>
      </c>
      <c r="R46" s="172">
        <v>0</v>
      </c>
      <c r="S46" s="112">
        <v>0</v>
      </c>
      <c r="T46" s="112">
        <f t="shared" si="16"/>
        <v>0</v>
      </c>
      <c r="U46" s="112">
        <f t="shared" si="12"/>
        <v>0</v>
      </c>
      <c r="V46" s="108"/>
      <c r="W46" s="109">
        <f t="shared" si="13"/>
        <v>0</v>
      </c>
      <c r="X46" s="137">
        <v>0</v>
      </c>
      <c r="Y46" s="137">
        <v>0</v>
      </c>
      <c r="Z46" s="137">
        <v>0</v>
      </c>
      <c r="AA46" s="137">
        <v>0</v>
      </c>
      <c r="AB46" s="137">
        <v>0</v>
      </c>
    </row>
    <row r="47" spans="1:28" s="17" customFormat="1" ht="10.9" customHeight="1" x14ac:dyDescent="0.2">
      <c r="A47" s="97" t="s">
        <v>11</v>
      </c>
      <c r="B47" s="98" t="s">
        <v>34</v>
      </c>
      <c r="C47" s="98"/>
      <c r="D47" s="98"/>
      <c r="E47" s="98"/>
      <c r="F47" s="95">
        <f>+M36</f>
        <v>0</v>
      </c>
      <c r="G47" s="100" t="s">
        <v>29</v>
      </c>
      <c r="H47" s="107">
        <v>0</v>
      </c>
      <c r="I47" s="107">
        <f t="shared" si="11"/>
        <v>0</v>
      </c>
      <c r="J47" s="107">
        <f t="shared" si="14"/>
        <v>0</v>
      </c>
      <c r="K47" s="107"/>
      <c r="L47" s="110">
        <v>0</v>
      </c>
      <c r="M47" s="110">
        <v>0</v>
      </c>
      <c r="N47" s="110">
        <v>0</v>
      </c>
      <c r="O47" s="111">
        <v>0</v>
      </c>
      <c r="P47" s="111">
        <f t="shared" si="15"/>
        <v>0</v>
      </c>
      <c r="Q47" s="172">
        <v>0</v>
      </c>
      <c r="R47" s="172">
        <v>0</v>
      </c>
      <c r="S47" s="112">
        <v>0</v>
      </c>
      <c r="T47" s="112">
        <f t="shared" si="16"/>
        <v>0</v>
      </c>
      <c r="U47" s="112">
        <f t="shared" si="12"/>
        <v>0</v>
      </c>
      <c r="V47" s="108"/>
      <c r="W47" s="109">
        <f t="shared" si="13"/>
        <v>0</v>
      </c>
      <c r="X47" s="137">
        <v>0</v>
      </c>
      <c r="Y47" s="137">
        <v>0</v>
      </c>
      <c r="Z47" s="137">
        <v>0</v>
      </c>
      <c r="AA47" s="137">
        <v>0</v>
      </c>
      <c r="AB47" s="137">
        <v>0</v>
      </c>
    </row>
    <row r="48" spans="1:28" s="17" customFormat="1" ht="10.9" customHeight="1" x14ac:dyDescent="0.2">
      <c r="A48" s="97" t="s">
        <v>11</v>
      </c>
      <c r="B48" s="98" t="s">
        <v>12</v>
      </c>
      <c r="C48" s="98"/>
      <c r="D48" s="118">
        <v>0.15</v>
      </c>
      <c r="E48" s="98"/>
      <c r="F48" s="95">
        <f>ROUND((L18*D48),0)</f>
        <v>11731</v>
      </c>
      <c r="G48" s="100" t="s">
        <v>30</v>
      </c>
      <c r="H48" s="107">
        <v>0</v>
      </c>
      <c r="I48" s="107">
        <f t="shared" si="11"/>
        <v>0</v>
      </c>
      <c r="J48" s="107">
        <f t="shared" si="14"/>
        <v>0</v>
      </c>
      <c r="K48" s="107"/>
      <c r="L48" s="110">
        <v>76082</v>
      </c>
      <c r="M48" s="110">
        <v>146370</v>
      </c>
      <c r="N48" s="110">
        <v>14456</v>
      </c>
      <c r="O48" s="111">
        <v>0</v>
      </c>
      <c r="P48" s="111">
        <f t="shared" si="15"/>
        <v>236908</v>
      </c>
      <c r="Q48" s="172">
        <v>0</v>
      </c>
      <c r="R48" s="172">
        <v>0</v>
      </c>
      <c r="S48" s="112">
        <v>0</v>
      </c>
      <c r="T48" s="112">
        <f t="shared" si="16"/>
        <v>0</v>
      </c>
      <c r="U48" s="112">
        <f t="shared" si="12"/>
        <v>0</v>
      </c>
      <c r="V48" s="108"/>
      <c r="W48" s="109">
        <f t="shared" si="13"/>
        <v>0</v>
      </c>
      <c r="X48" s="137">
        <v>0</v>
      </c>
      <c r="Y48" s="137">
        <v>0</v>
      </c>
      <c r="Z48" s="137">
        <v>48000</v>
      </c>
      <c r="AA48" s="137">
        <v>0</v>
      </c>
      <c r="AB48" s="137">
        <v>0</v>
      </c>
    </row>
    <row r="49" spans="1:35" s="17" customFormat="1" ht="10.9" customHeight="1" x14ac:dyDescent="0.2">
      <c r="A49" s="97" t="s">
        <v>11</v>
      </c>
      <c r="B49" s="119" t="s">
        <v>67</v>
      </c>
      <c r="C49" s="120"/>
      <c r="D49" s="120"/>
      <c r="E49" s="98"/>
      <c r="F49" s="121">
        <v>0</v>
      </c>
      <c r="G49" s="100" t="s">
        <v>31</v>
      </c>
      <c r="H49" s="107">
        <v>0</v>
      </c>
      <c r="I49" s="107">
        <f t="shared" si="11"/>
        <v>0</v>
      </c>
      <c r="J49" s="107">
        <f t="shared" si="14"/>
        <v>0</v>
      </c>
      <c r="K49" s="107"/>
      <c r="L49" s="110">
        <v>0</v>
      </c>
      <c r="M49" s="110">
        <v>0</v>
      </c>
      <c r="N49" s="110">
        <v>0</v>
      </c>
      <c r="O49" s="111">
        <v>0</v>
      </c>
      <c r="P49" s="111">
        <f t="shared" si="15"/>
        <v>0</v>
      </c>
      <c r="Q49" s="172">
        <v>0</v>
      </c>
      <c r="R49" s="172">
        <v>0</v>
      </c>
      <c r="S49" s="112">
        <v>0</v>
      </c>
      <c r="T49" s="112">
        <f t="shared" si="16"/>
        <v>0</v>
      </c>
      <c r="U49" s="112">
        <f t="shared" si="12"/>
        <v>0</v>
      </c>
      <c r="V49" s="108"/>
      <c r="W49" s="109">
        <f t="shared" si="13"/>
        <v>0</v>
      </c>
      <c r="X49" s="137">
        <v>0</v>
      </c>
      <c r="Y49" s="137">
        <v>0</v>
      </c>
      <c r="Z49" s="137">
        <v>48000</v>
      </c>
      <c r="AA49" s="137">
        <v>0</v>
      </c>
      <c r="AB49" s="137">
        <v>0</v>
      </c>
    </row>
    <row r="50" spans="1:35" s="17" customFormat="1" ht="10.9" customHeight="1" x14ac:dyDescent="0.2">
      <c r="A50" s="97" t="s">
        <v>11</v>
      </c>
      <c r="B50" s="120" t="s">
        <v>19</v>
      </c>
      <c r="C50" s="120"/>
      <c r="D50" s="120"/>
      <c r="E50" s="98"/>
      <c r="F50" s="122">
        <f>SUM(F46:F48)</f>
        <v>22309</v>
      </c>
      <c r="G50" s="100" t="s">
        <v>32</v>
      </c>
      <c r="H50" s="107">
        <v>78209</v>
      </c>
      <c r="I50" s="107">
        <f t="shared" si="11"/>
        <v>14860</v>
      </c>
      <c r="J50" s="107">
        <f t="shared" si="14"/>
        <v>93069</v>
      </c>
      <c r="K50" s="107"/>
      <c r="L50" s="110">
        <v>22536</v>
      </c>
      <c r="M50" s="110">
        <v>0</v>
      </c>
      <c r="N50" s="110">
        <v>4282</v>
      </c>
      <c r="O50" s="111">
        <v>0</v>
      </c>
      <c r="P50" s="111">
        <f t="shared" si="15"/>
        <v>26818</v>
      </c>
      <c r="Q50" s="172">
        <v>0</v>
      </c>
      <c r="R50" s="172">
        <v>0</v>
      </c>
      <c r="S50" s="112">
        <v>0</v>
      </c>
      <c r="T50" s="112">
        <f t="shared" si="16"/>
        <v>0</v>
      </c>
      <c r="U50" s="112">
        <f t="shared" si="12"/>
        <v>0</v>
      </c>
      <c r="V50" s="108"/>
      <c r="W50" s="109">
        <f t="shared" si="13"/>
        <v>0</v>
      </c>
      <c r="X50" s="137">
        <v>0</v>
      </c>
      <c r="Y50" s="137">
        <v>0</v>
      </c>
      <c r="Z50" s="137">
        <v>48000</v>
      </c>
      <c r="AA50" s="137">
        <v>0</v>
      </c>
      <c r="AB50" s="137">
        <v>0</v>
      </c>
    </row>
    <row r="51" spans="1:35" s="17" customFormat="1" ht="10.9" customHeight="1" x14ac:dyDescent="0.2">
      <c r="A51" s="123" t="s">
        <v>20</v>
      </c>
      <c r="B51" s="124"/>
      <c r="C51" s="124"/>
      <c r="D51" s="124"/>
      <c r="E51" s="124"/>
      <c r="F51" s="125">
        <f>+F46+F48</f>
        <v>22309</v>
      </c>
      <c r="G51" s="100" t="s">
        <v>33</v>
      </c>
      <c r="H51" s="107">
        <v>0</v>
      </c>
      <c r="I51" s="107">
        <f t="shared" si="11"/>
        <v>0</v>
      </c>
      <c r="J51" s="107">
        <f t="shared" si="14"/>
        <v>0</v>
      </c>
      <c r="K51" s="107"/>
      <c r="L51" s="110">
        <v>0</v>
      </c>
      <c r="M51" s="110">
        <v>0</v>
      </c>
      <c r="N51" s="110">
        <v>0</v>
      </c>
      <c r="O51" s="111">
        <v>0</v>
      </c>
      <c r="P51" s="111">
        <f t="shared" si="15"/>
        <v>0</v>
      </c>
      <c r="Q51" s="172">
        <v>0</v>
      </c>
      <c r="R51" s="172">
        <v>0</v>
      </c>
      <c r="S51" s="112">
        <v>0</v>
      </c>
      <c r="T51" s="112">
        <f t="shared" si="16"/>
        <v>0</v>
      </c>
      <c r="U51" s="112">
        <f t="shared" si="12"/>
        <v>0</v>
      </c>
      <c r="V51" s="108"/>
      <c r="W51" s="109">
        <f t="shared" si="13"/>
        <v>0</v>
      </c>
      <c r="X51" s="137">
        <v>0</v>
      </c>
      <c r="Y51" s="137">
        <v>0</v>
      </c>
      <c r="Z51" s="137">
        <v>0</v>
      </c>
      <c r="AA51" s="137">
        <v>0</v>
      </c>
      <c r="AB51" s="137">
        <v>0</v>
      </c>
    </row>
    <row r="52" spans="1:35" s="17" customFormat="1" ht="10.9" customHeight="1" x14ac:dyDescent="0.2">
      <c r="A52" s="123" t="s">
        <v>21</v>
      </c>
      <c r="B52" s="124"/>
      <c r="C52" s="124"/>
      <c r="D52" s="124"/>
      <c r="E52" s="124"/>
      <c r="F52" s="126">
        <f>+F51/L18</f>
        <v>0.28524850081192704</v>
      </c>
      <c r="G52" s="127" t="s">
        <v>36</v>
      </c>
      <c r="H52" s="128">
        <f>SUM(H40:H51)</f>
        <v>78209</v>
      </c>
      <c r="I52" s="128">
        <f>SUM(I40:I51)</f>
        <v>14860</v>
      </c>
      <c r="J52" s="128">
        <f>SUM(J40:J51)</f>
        <v>93069</v>
      </c>
      <c r="K52" s="107"/>
      <c r="L52" s="130">
        <f>SUM(L40:L51)</f>
        <v>98618</v>
      </c>
      <c r="M52" s="130">
        <f t="shared" ref="M52:P52" si="17">SUM(M40:M51)</f>
        <v>146370</v>
      </c>
      <c r="N52" s="130">
        <f t="shared" si="17"/>
        <v>18738</v>
      </c>
      <c r="O52" s="130">
        <f t="shared" si="17"/>
        <v>0</v>
      </c>
      <c r="P52" s="130">
        <f t="shared" si="17"/>
        <v>263726</v>
      </c>
      <c r="Q52" s="173">
        <f>SUM(Q40:Q51)</f>
        <v>0</v>
      </c>
      <c r="R52" s="173">
        <f>SUM(R40:R51)</f>
        <v>0</v>
      </c>
      <c r="S52" s="131">
        <f>SUM(S40:S51)</f>
        <v>0</v>
      </c>
      <c r="T52" s="131">
        <f t="shared" ref="T52:U52" si="18">SUM(T40:T51)</f>
        <v>0</v>
      </c>
      <c r="U52" s="131">
        <f t="shared" si="18"/>
        <v>0</v>
      </c>
      <c r="V52" s="158">
        <f>SUM(V40:V51)</f>
        <v>0</v>
      </c>
      <c r="W52" s="129">
        <f>SUM(W40:W51)</f>
        <v>0</v>
      </c>
      <c r="X52" s="138">
        <f>SUM(X40:X51)</f>
        <v>0</v>
      </c>
      <c r="Y52" s="138">
        <f t="shared" ref="Y52:AB52" si="19">SUM(Y40:Y51)</f>
        <v>0</v>
      </c>
      <c r="Z52" s="138">
        <f t="shared" si="19"/>
        <v>144000</v>
      </c>
      <c r="AA52" s="138">
        <f>SUM(AA40:AA51)</f>
        <v>0</v>
      </c>
      <c r="AB52" s="138">
        <f t="shared" si="19"/>
        <v>0</v>
      </c>
    </row>
    <row r="53" spans="1:35" s="17" customFormat="1" ht="10.9" customHeight="1" x14ac:dyDescent="0.2">
      <c r="A53" s="132" t="s">
        <v>64</v>
      </c>
      <c r="B53" s="133"/>
      <c r="C53" s="133"/>
      <c r="D53" s="133"/>
      <c r="E53" s="133"/>
      <c r="F53" s="134">
        <f>+F46/L18</f>
        <v>0.13525297600020458</v>
      </c>
      <c r="G53" s="159" t="s">
        <v>54</v>
      </c>
      <c r="H53" s="160">
        <f>+H52/1</f>
        <v>78209</v>
      </c>
      <c r="I53" s="160">
        <f>+I52/1</f>
        <v>14860</v>
      </c>
      <c r="J53" s="160">
        <f>+J52/1</f>
        <v>93069</v>
      </c>
      <c r="K53" s="159"/>
      <c r="L53" s="163">
        <f t="shared" ref="L53:AB53" si="20">+L52/1</f>
        <v>98618</v>
      </c>
      <c r="M53" s="163">
        <f t="shared" si="20"/>
        <v>146370</v>
      </c>
      <c r="N53" s="163">
        <f t="shared" si="20"/>
        <v>18738</v>
      </c>
      <c r="O53" s="163">
        <f t="shared" si="20"/>
        <v>0</v>
      </c>
      <c r="P53" s="163">
        <f t="shared" si="20"/>
        <v>263726</v>
      </c>
      <c r="Q53" s="174">
        <f t="shared" si="20"/>
        <v>0</v>
      </c>
      <c r="R53" s="174">
        <f t="shared" si="20"/>
        <v>0</v>
      </c>
      <c r="S53" s="164">
        <f t="shared" si="20"/>
        <v>0</v>
      </c>
      <c r="T53" s="164">
        <f t="shared" si="20"/>
        <v>0</v>
      </c>
      <c r="U53" s="164">
        <f t="shared" si="20"/>
        <v>0</v>
      </c>
      <c r="V53" s="161">
        <f t="shared" si="20"/>
        <v>0</v>
      </c>
      <c r="W53" s="162">
        <f t="shared" si="20"/>
        <v>0</v>
      </c>
      <c r="X53" s="165">
        <f t="shared" si="20"/>
        <v>0</v>
      </c>
      <c r="Y53" s="165">
        <f t="shared" si="20"/>
        <v>0</v>
      </c>
      <c r="Z53" s="165">
        <f t="shared" si="20"/>
        <v>144000</v>
      </c>
      <c r="AA53" s="165">
        <f t="shared" si="20"/>
        <v>0</v>
      </c>
      <c r="AB53" s="165">
        <f t="shared" si="20"/>
        <v>0</v>
      </c>
    </row>
    <row r="54" spans="1:35" s="17" customFormat="1" ht="10.9" customHeight="1" x14ac:dyDescent="0.2">
      <c r="A54" s="15"/>
      <c r="B54" s="15"/>
      <c r="C54" s="15"/>
      <c r="D54" s="15"/>
      <c r="E54" s="15"/>
      <c r="F54" s="15"/>
      <c r="G54" s="15"/>
      <c r="Q54" s="15"/>
      <c r="R54" s="15"/>
      <c r="T54" s="15"/>
      <c r="U54" s="15"/>
    </row>
    <row r="55" spans="1:35" ht="10.9" customHeight="1" x14ac:dyDescent="0.2">
      <c r="X55" s="135"/>
      <c r="AB55" s="135"/>
      <c r="AD55" s="17"/>
      <c r="AF55" s="135"/>
      <c r="AI55" s="135">
        <v>-4.5</v>
      </c>
    </row>
    <row r="56" spans="1:35" ht="10.9" customHeight="1" x14ac:dyDescent="0.2">
      <c r="AD56" s="17"/>
    </row>
  </sheetData>
  <mergeCells count="12">
    <mergeCell ref="B3:D3"/>
    <mergeCell ref="E3:F3"/>
    <mergeCell ref="E4:F4"/>
    <mergeCell ref="E21:F21"/>
    <mergeCell ref="E33:F33"/>
    <mergeCell ref="X38:AB38"/>
    <mergeCell ref="A38:F38"/>
    <mergeCell ref="G38:K38"/>
    <mergeCell ref="L38:P38"/>
    <mergeCell ref="Q38:R38"/>
    <mergeCell ref="S38:U38"/>
    <mergeCell ref="V38:W38"/>
  </mergeCells>
  <pageMargins left="0.7" right="0.7" top="0.75" bottom="0.75" header="0.3" footer="0.3"/>
  <pageSetup paperSize="268" orientation="portrait" r:id="rId1"/>
  <ignoredErrors>
    <ignoredError sqref="M11:N16 P26 N30" formula="1"/>
    <ignoredError sqref="P22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530-D670-4F61-8B28-47B0130AE782}">
  <dimension ref="A1:AK62"/>
  <sheetViews>
    <sheetView zoomScale="117" zoomScaleNormal="117" workbookViewId="0">
      <pane ySplit="4" topLeftCell="A17" activePane="bottomLeft" state="frozen"/>
      <selection pane="bottomLeft" activeCell="T25" sqref="T25"/>
    </sheetView>
  </sheetViews>
  <sheetFormatPr baseColWidth="10" defaultColWidth="11.42578125" defaultRowHeight="10.9" customHeight="1" x14ac:dyDescent="0.2"/>
  <cols>
    <col min="1" max="3" width="3.7109375" style="15" customWidth="1"/>
    <col min="4" max="4" width="5.7109375" style="15" customWidth="1"/>
    <col min="5" max="5" width="3.7109375" style="15" customWidth="1"/>
    <col min="6" max="10" width="9.28515625" style="15" customWidth="1"/>
    <col min="11" max="11" width="1.7109375" style="15" customWidth="1"/>
    <col min="12" max="17" width="9.28515625" style="15" customWidth="1"/>
    <col min="18" max="18" width="9.28515625" style="17" customWidth="1"/>
    <col min="19" max="28" width="9.28515625" style="15" customWidth="1"/>
    <col min="29" max="16384" width="11.42578125" style="15"/>
  </cols>
  <sheetData>
    <row r="1" spans="1:28" s="17" customFormat="1" ht="10.9" customHeight="1" x14ac:dyDescent="0.2">
      <c r="A1" s="189" t="s">
        <v>98</v>
      </c>
      <c r="B1" s="190"/>
      <c r="C1" s="190"/>
      <c r="D1" s="190"/>
      <c r="E1" s="191"/>
      <c r="F1" s="191"/>
      <c r="G1" s="50" t="s">
        <v>44</v>
      </c>
      <c r="H1" s="63"/>
      <c r="I1" s="191"/>
      <c r="J1" s="191"/>
      <c r="K1" s="192"/>
      <c r="L1" s="191"/>
      <c r="M1" s="193" t="s">
        <v>92</v>
      </c>
      <c r="N1" s="192">
        <v>2022</v>
      </c>
      <c r="O1" s="16"/>
      <c r="P1" s="16"/>
      <c r="Q1" s="16"/>
    </row>
    <row r="2" spans="1:28" s="17" customFormat="1" ht="10.9" customHeight="1" x14ac:dyDescent="0.2">
      <c r="A2" s="18" t="s">
        <v>3</v>
      </c>
      <c r="B2" s="19"/>
      <c r="C2" s="19"/>
      <c r="D2" s="19"/>
      <c r="E2" s="19"/>
      <c r="F2" s="20"/>
      <c r="G2" s="15"/>
      <c r="H2" s="15"/>
      <c r="I2" s="15"/>
      <c r="J2" s="21"/>
      <c r="K2" s="21"/>
      <c r="L2" s="16"/>
      <c r="M2" s="16"/>
      <c r="N2" s="16"/>
      <c r="O2" s="16"/>
      <c r="P2" s="16"/>
      <c r="Q2" s="16"/>
    </row>
    <row r="3" spans="1:28" s="17" customFormat="1" ht="10.9" customHeight="1" x14ac:dyDescent="0.2">
      <c r="A3" s="22" t="s">
        <v>41</v>
      </c>
      <c r="B3" s="194" t="s">
        <v>40</v>
      </c>
      <c r="C3" s="194"/>
      <c r="D3" s="194"/>
      <c r="E3" s="195" t="s">
        <v>84</v>
      </c>
      <c r="F3" s="195"/>
      <c r="G3" s="23"/>
      <c r="H3" s="23"/>
      <c r="I3" s="23"/>
      <c r="J3" s="23"/>
      <c r="K3" s="23"/>
      <c r="L3" s="24"/>
      <c r="M3" s="24"/>
      <c r="N3" s="24"/>
      <c r="O3" s="24"/>
      <c r="P3" s="24"/>
      <c r="Q3" s="24"/>
    </row>
    <row r="4" spans="1:28" s="17" customFormat="1" ht="10.9" customHeight="1" x14ac:dyDescent="0.2">
      <c r="A4" s="22" t="s">
        <v>42</v>
      </c>
      <c r="B4" s="25" t="s">
        <v>37</v>
      </c>
      <c r="C4" s="25" t="s">
        <v>38</v>
      </c>
      <c r="D4" s="25" t="s">
        <v>39</v>
      </c>
      <c r="E4" s="195" t="s">
        <v>83</v>
      </c>
      <c r="F4" s="195"/>
      <c r="G4" s="22"/>
      <c r="H4" s="22" t="s">
        <v>0</v>
      </c>
      <c r="I4" s="22"/>
      <c r="J4" s="22" t="s">
        <v>5</v>
      </c>
      <c r="K4" s="22"/>
      <c r="L4" s="22" t="s">
        <v>52</v>
      </c>
      <c r="M4" s="22" t="s">
        <v>1</v>
      </c>
      <c r="N4" s="22" t="s">
        <v>2</v>
      </c>
      <c r="O4" s="15"/>
      <c r="P4" s="15"/>
      <c r="Q4" s="15"/>
    </row>
    <row r="5" spans="1:28" s="17" customFormat="1" ht="10.9" customHeight="1" x14ac:dyDescent="0.2">
      <c r="A5" s="26">
        <v>1</v>
      </c>
      <c r="B5" s="1"/>
      <c r="C5" s="26">
        <v>10</v>
      </c>
      <c r="D5" s="27">
        <v>2022</v>
      </c>
      <c r="E5" s="27" t="s">
        <v>79</v>
      </c>
      <c r="F5" s="9"/>
      <c r="G5" s="4"/>
      <c r="H5" s="4"/>
      <c r="I5" s="28"/>
      <c r="J5" s="5"/>
      <c r="K5" s="2"/>
      <c r="L5" s="6"/>
      <c r="M5" s="29">
        <f t="shared" ref="M5:M16" si="0">ROUND((L5*19%),0)</f>
        <v>0</v>
      </c>
      <c r="N5" s="29">
        <f>ROUND((L5+M5),0)</f>
        <v>0</v>
      </c>
      <c r="O5" s="15"/>
      <c r="P5" s="15"/>
      <c r="Q5" s="15"/>
    </row>
    <row r="6" spans="1:28" s="17" customFormat="1" ht="10.9" customHeight="1" x14ac:dyDescent="0.2">
      <c r="A6" s="26">
        <v>2</v>
      </c>
      <c r="B6" s="1"/>
      <c r="C6" s="26">
        <v>10</v>
      </c>
      <c r="D6" s="27">
        <v>2022</v>
      </c>
      <c r="E6" s="27" t="s">
        <v>79</v>
      </c>
      <c r="F6" s="9"/>
      <c r="G6" s="4"/>
      <c r="H6" s="4"/>
      <c r="I6" s="28"/>
      <c r="J6" s="5"/>
      <c r="K6" s="2"/>
      <c r="L6" s="6"/>
      <c r="M6" s="29">
        <f t="shared" si="0"/>
        <v>0</v>
      </c>
      <c r="N6" s="29">
        <f t="shared" ref="N6:N16" si="1">ROUND((L6+M6),0)</f>
        <v>0</v>
      </c>
      <c r="O6" s="15"/>
      <c r="P6" s="15"/>
      <c r="Q6" s="15"/>
    </row>
    <row r="7" spans="1:28" s="17" customFormat="1" ht="10.9" customHeight="1" x14ac:dyDescent="0.2">
      <c r="A7" s="26">
        <v>3</v>
      </c>
      <c r="B7" s="1"/>
      <c r="C7" s="26">
        <v>10</v>
      </c>
      <c r="D7" s="27">
        <v>2022</v>
      </c>
      <c r="E7" s="27" t="s">
        <v>79</v>
      </c>
      <c r="F7" s="9"/>
      <c r="G7" s="4"/>
      <c r="H7" s="28"/>
      <c r="I7" s="28"/>
      <c r="J7" s="5"/>
      <c r="K7" s="2"/>
      <c r="L7" s="6"/>
      <c r="M7" s="29">
        <f t="shared" si="0"/>
        <v>0</v>
      </c>
      <c r="N7" s="29">
        <f t="shared" si="1"/>
        <v>0</v>
      </c>
      <c r="O7" s="15"/>
      <c r="P7" s="15"/>
      <c r="Q7" s="15"/>
      <c r="R7" s="177"/>
      <c r="S7" s="178"/>
      <c r="T7" s="178"/>
      <c r="U7" s="178"/>
      <c r="V7" s="21"/>
    </row>
    <row r="8" spans="1:28" s="17" customFormat="1" ht="10.9" customHeight="1" x14ac:dyDescent="0.2">
      <c r="A8" s="26">
        <v>4</v>
      </c>
      <c r="B8" s="1"/>
      <c r="C8" s="26">
        <v>10</v>
      </c>
      <c r="D8" s="27">
        <v>2022</v>
      </c>
      <c r="E8" s="27" t="s">
        <v>79</v>
      </c>
      <c r="F8" s="9"/>
      <c r="G8" s="4"/>
      <c r="H8" s="28"/>
      <c r="I8" s="28"/>
      <c r="J8" s="5"/>
      <c r="K8" s="2"/>
      <c r="L8" s="6"/>
      <c r="M8" s="29">
        <f t="shared" si="0"/>
        <v>0</v>
      </c>
      <c r="N8" s="29">
        <f t="shared" si="1"/>
        <v>0</v>
      </c>
      <c r="O8" s="15"/>
      <c r="P8" s="15"/>
      <c r="Q8" s="15"/>
      <c r="R8" s="21"/>
      <c r="S8" s="15"/>
      <c r="T8" s="179"/>
      <c r="U8" s="15"/>
      <c r="V8" s="180"/>
      <c r="W8" s="21"/>
      <c r="X8" s="181"/>
      <c r="Y8" s="181"/>
      <c r="Z8" s="67"/>
      <c r="AA8" s="181"/>
      <c r="AB8" s="181"/>
    </row>
    <row r="9" spans="1:28" s="17" customFormat="1" ht="10.9" customHeight="1" x14ac:dyDescent="0.2">
      <c r="A9" s="26">
        <v>5</v>
      </c>
      <c r="B9" s="1"/>
      <c r="C9" s="26">
        <v>10</v>
      </c>
      <c r="D9" s="27">
        <v>2022</v>
      </c>
      <c r="E9" s="27" t="s">
        <v>79</v>
      </c>
      <c r="F9" s="9"/>
      <c r="G9" s="4"/>
      <c r="H9" s="28"/>
      <c r="I9" s="28"/>
      <c r="J9" s="5"/>
      <c r="K9" s="2"/>
      <c r="L9" s="6"/>
      <c r="M9" s="29">
        <f t="shared" si="0"/>
        <v>0</v>
      </c>
      <c r="N9" s="29">
        <f t="shared" si="1"/>
        <v>0</v>
      </c>
      <c r="O9" s="15"/>
      <c r="P9" s="15"/>
      <c r="Q9" s="15"/>
    </row>
    <row r="10" spans="1:28" s="17" customFormat="1" ht="10.9" customHeight="1" x14ac:dyDescent="0.2">
      <c r="A10" s="26">
        <v>6</v>
      </c>
      <c r="B10" s="1"/>
      <c r="C10" s="26">
        <v>10</v>
      </c>
      <c r="D10" s="27">
        <v>2022</v>
      </c>
      <c r="E10" s="27" t="s">
        <v>79</v>
      </c>
      <c r="F10" s="9"/>
      <c r="G10" s="4"/>
      <c r="H10" s="4"/>
      <c r="I10" s="28"/>
      <c r="J10" s="5"/>
      <c r="K10" s="2"/>
      <c r="L10" s="6"/>
      <c r="M10" s="29">
        <f t="shared" si="0"/>
        <v>0</v>
      </c>
      <c r="N10" s="29">
        <f t="shared" si="1"/>
        <v>0</v>
      </c>
      <c r="O10" s="15"/>
      <c r="P10" s="15"/>
      <c r="Q10" s="15"/>
    </row>
    <row r="11" spans="1:28" s="17" customFormat="1" ht="10.9" customHeight="1" x14ac:dyDescent="0.2">
      <c r="A11" s="26">
        <v>7</v>
      </c>
      <c r="B11" s="1"/>
      <c r="C11" s="26">
        <v>10</v>
      </c>
      <c r="D11" s="27">
        <v>2022</v>
      </c>
      <c r="E11" s="27" t="s">
        <v>79</v>
      </c>
      <c r="F11" s="9"/>
      <c r="G11" s="4"/>
      <c r="H11" s="4"/>
      <c r="I11" s="28"/>
      <c r="J11" s="5"/>
      <c r="K11" s="2"/>
      <c r="L11" s="6"/>
      <c r="M11" s="29">
        <f t="shared" si="0"/>
        <v>0</v>
      </c>
      <c r="N11" s="29">
        <f t="shared" si="1"/>
        <v>0</v>
      </c>
      <c r="O11" s="15"/>
      <c r="P11" s="15"/>
      <c r="Q11" s="15"/>
    </row>
    <row r="12" spans="1:28" s="17" customFormat="1" ht="10.9" customHeight="1" x14ac:dyDescent="0.2">
      <c r="A12" s="26">
        <v>8</v>
      </c>
      <c r="B12" s="1"/>
      <c r="C12" s="26">
        <v>10</v>
      </c>
      <c r="D12" s="27">
        <v>2022</v>
      </c>
      <c r="E12" s="27" t="s">
        <v>79</v>
      </c>
      <c r="F12" s="9"/>
      <c r="G12" s="4"/>
      <c r="H12" s="4"/>
      <c r="I12" s="28"/>
      <c r="J12" s="5"/>
      <c r="K12" s="2"/>
      <c r="L12" s="6"/>
      <c r="M12" s="29">
        <f t="shared" si="0"/>
        <v>0</v>
      </c>
      <c r="N12" s="29">
        <f t="shared" si="1"/>
        <v>0</v>
      </c>
      <c r="O12" s="15"/>
      <c r="P12" s="15"/>
      <c r="Q12" s="15"/>
    </row>
    <row r="13" spans="1:28" s="17" customFormat="1" ht="10.9" customHeight="1" x14ac:dyDescent="0.2">
      <c r="A13" s="26">
        <v>9</v>
      </c>
      <c r="B13" s="1"/>
      <c r="C13" s="26">
        <v>10</v>
      </c>
      <c r="D13" s="27">
        <v>2022</v>
      </c>
      <c r="E13" s="27" t="s">
        <v>79</v>
      </c>
      <c r="F13" s="9"/>
      <c r="G13" s="4"/>
      <c r="H13" s="4"/>
      <c r="I13" s="28"/>
      <c r="J13" s="5"/>
      <c r="K13" s="2"/>
      <c r="L13" s="6"/>
      <c r="M13" s="29">
        <f t="shared" si="0"/>
        <v>0</v>
      </c>
      <c r="N13" s="29">
        <f t="shared" si="1"/>
        <v>0</v>
      </c>
      <c r="O13" s="15"/>
      <c r="P13" s="15"/>
      <c r="Q13" s="15"/>
    </row>
    <row r="14" spans="1:28" s="17" customFormat="1" ht="10.9" customHeight="1" x14ac:dyDescent="0.2">
      <c r="A14" s="26">
        <v>10</v>
      </c>
      <c r="B14" s="1"/>
      <c r="C14" s="26">
        <v>10</v>
      </c>
      <c r="D14" s="27">
        <v>2022</v>
      </c>
      <c r="E14" s="27" t="s">
        <v>79</v>
      </c>
      <c r="F14" s="9"/>
      <c r="G14" s="4"/>
      <c r="H14" s="28"/>
      <c r="I14" s="28"/>
      <c r="J14" s="5"/>
      <c r="K14" s="2"/>
      <c r="L14" s="6"/>
      <c r="M14" s="29">
        <f t="shared" si="0"/>
        <v>0</v>
      </c>
      <c r="N14" s="29">
        <f t="shared" si="1"/>
        <v>0</v>
      </c>
      <c r="O14" s="15"/>
      <c r="P14" s="15"/>
      <c r="Q14" s="15"/>
    </row>
    <row r="15" spans="1:28" s="17" customFormat="1" ht="10.9" customHeight="1" x14ac:dyDescent="0.2">
      <c r="A15" s="26">
        <v>11</v>
      </c>
      <c r="B15" s="1"/>
      <c r="C15" s="26">
        <v>10</v>
      </c>
      <c r="D15" s="27">
        <v>2022</v>
      </c>
      <c r="E15" s="27" t="s">
        <v>79</v>
      </c>
      <c r="F15" s="9"/>
      <c r="G15" s="4"/>
      <c r="H15" s="28"/>
      <c r="I15" s="28"/>
      <c r="J15" s="5"/>
      <c r="K15" s="2"/>
      <c r="L15" s="6"/>
      <c r="M15" s="29">
        <f t="shared" si="0"/>
        <v>0</v>
      </c>
      <c r="N15" s="29">
        <f t="shared" si="1"/>
        <v>0</v>
      </c>
      <c r="O15" s="15"/>
      <c r="P15" s="15"/>
      <c r="Q15" s="15"/>
    </row>
    <row r="16" spans="1:28" s="17" customFormat="1" ht="10.9" customHeight="1" x14ac:dyDescent="0.2">
      <c r="A16" s="26">
        <v>12</v>
      </c>
      <c r="B16" s="1"/>
      <c r="C16" s="26">
        <v>10</v>
      </c>
      <c r="D16" s="27">
        <v>2022</v>
      </c>
      <c r="E16" s="27" t="s">
        <v>79</v>
      </c>
      <c r="F16" s="9"/>
      <c r="G16" s="4"/>
      <c r="H16" s="28"/>
      <c r="I16" s="28"/>
      <c r="J16" s="5"/>
      <c r="K16" s="2"/>
      <c r="L16" s="6"/>
      <c r="M16" s="29">
        <f t="shared" si="0"/>
        <v>0</v>
      </c>
      <c r="N16" s="29">
        <f t="shared" si="1"/>
        <v>0</v>
      </c>
      <c r="O16" s="15"/>
      <c r="P16" s="15"/>
      <c r="Q16" s="15"/>
    </row>
    <row r="17" spans="1:37" s="17" customFormat="1" ht="10.9" customHeight="1" x14ac:dyDescent="0.2">
      <c r="A17" s="14" t="s">
        <v>51</v>
      </c>
      <c r="B17" s="30"/>
      <c r="C17" s="30"/>
      <c r="D17" s="31"/>
      <c r="E17" s="31"/>
      <c r="F17" s="32"/>
      <c r="G17" s="33"/>
      <c r="H17" s="33"/>
      <c r="I17" s="33"/>
      <c r="J17" s="31"/>
      <c r="K17" s="31"/>
      <c r="L17" s="34">
        <f>SUM(L5:L16)</f>
        <v>0</v>
      </c>
      <c r="M17" s="34">
        <f>SUM(M5:M16)</f>
        <v>0</v>
      </c>
      <c r="N17" s="34">
        <f>SUM(N5:N16)</f>
        <v>0</v>
      </c>
      <c r="O17" s="15"/>
      <c r="P17" s="15"/>
    </row>
    <row r="18" spans="1:37" s="17" customFormat="1" ht="10.9" customHeight="1" x14ac:dyDescent="0.2">
      <c r="A18" s="35">
        <v>1</v>
      </c>
      <c r="B18" s="35"/>
      <c r="C18" s="35">
        <v>10</v>
      </c>
      <c r="D18" s="36">
        <v>2022</v>
      </c>
      <c r="E18" s="36" t="s">
        <v>80</v>
      </c>
      <c r="F18" s="35"/>
      <c r="G18" s="7"/>
      <c r="H18" s="7"/>
      <c r="I18" s="37"/>
      <c r="J18" s="8"/>
      <c r="K18" s="3"/>
      <c r="L18" s="10"/>
      <c r="M18" s="38">
        <f t="shared" ref="M18:M19" si="2">ROUND((L18*19%),0)</f>
        <v>0</v>
      </c>
      <c r="N18" s="38">
        <f>ROUND((L18+M18),0)</f>
        <v>0</v>
      </c>
      <c r="O18" s="15"/>
      <c r="P18" s="15"/>
      <c r="Q18" s="15"/>
    </row>
    <row r="19" spans="1:37" s="17" customFormat="1" ht="10.9" customHeight="1" x14ac:dyDescent="0.2">
      <c r="A19" s="35">
        <v>2</v>
      </c>
      <c r="B19" s="35"/>
      <c r="C19" s="35">
        <v>10</v>
      </c>
      <c r="D19" s="36">
        <v>2022</v>
      </c>
      <c r="E19" s="36" t="s">
        <v>80</v>
      </c>
      <c r="F19" s="35"/>
      <c r="G19" s="7"/>
      <c r="H19" s="7"/>
      <c r="I19" s="37"/>
      <c r="J19" s="8"/>
      <c r="K19" s="3"/>
      <c r="L19" s="10"/>
      <c r="M19" s="38">
        <f t="shared" si="2"/>
        <v>0</v>
      </c>
      <c r="N19" s="38">
        <f t="shared" ref="N19" si="3">ROUND((L19+M19),0)</f>
        <v>0</v>
      </c>
      <c r="O19" s="15"/>
      <c r="P19" s="15"/>
      <c r="Q19" s="15"/>
    </row>
    <row r="20" spans="1:37" s="17" customFormat="1" ht="10.9" customHeight="1" x14ac:dyDescent="0.2">
      <c r="A20" s="39" t="s">
        <v>50</v>
      </c>
      <c r="B20" s="40"/>
      <c r="C20" s="40"/>
      <c r="D20" s="41"/>
      <c r="E20" s="41"/>
      <c r="F20" s="42"/>
      <c r="G20" s="43"/>
      <c r="H20" s="43"/>
      <c r="I20" s="43"/>
      <c r="J20" s="41"/>
      <c r="K20" s="41"/>
      <c r="L20" s="44">
        <f>SUM(L18:L19)</f>
        <v>0</v>
      </c>
      <c r="M20" s="44">
        <f>SUM(M18:M19)</f>
        <v>0</v>
      </c>
      <c r="N20" s="44">
        <f>SUM(N18:N19)</f>
        <v>0</v>
      </c>
      <c r="O20" s="43"/>
      <c r="P20" s="43"/>
      <c r="Q20" s="15"/>
      <c r="R20" s="15"/>
      <c r="S20" s="15"/>
    </row>
    <row r="21" spans="1:37" s="17" customFormat="1" ht="10.9" customHeight="1" x14ac:dyDescent="0.2">
      <c r="A21" s="45">
        <v>1</v>
      </c>
      <c r="B21" s="45"/>
      <c r="C21" s="45">
        <v>10</v>
      </c>
      <c r="D21" s="46">
        <v>2022</v>
      </c>
      <c r="E21" s="46" t="s">
        <v>81</v>
      </c>
      <c r="F21" s="47"/>
      <c r="G21" s="11"/>
      <c r="H21" s="48"/>
      <c r="I21" s="48"/>
      <c r="J21" s="12"/>
      <c r="K21" s="13"/>
      <c r="L21" s="49"/>
      <c r="M21" s="49">
        <f t="shared" ref="M21:M22" si="4">ROUND((L21*19%),0)</f>
        <v>0</v>
      </c>
      <c r="N21" s="49">
        <f t="shared" ref="N21:N22" si="5">SUM(L21:M21)</f>
        <v>0</v>
      </c>
      <c r="O21" s="43"/>
      <c r="P21" s="43"/>
      <c r="R21" s="15"/>
    </row>
    <row r="22" spans="1:37" s="17" customFormat="1" ht="10.9" customHeight="1" x14ac:dyDescent="0.2">
      <c r="A22" s="45">
        <v>2</v>
      </c>
      <c r="B22" s="45"/>
      <c r="C22" s="45">
        <v>10</v>
      </c>
      <c r="D22" s="46">
        <v>2022</v>
      </c>
      <c r="E22" s="46" t="s">
        <v>81</v>
      </c>
      <c r="F22" s="47"/>
      <c r="G22" s="48"/>
      <c r="H22" s="48"/>
      <c r="I22" s="48"/>
      <c r="J22" s="46"/>
      <c r="K22" s="46"/>
      <c r="L22" s="49"/>
      <c r="M22" s="49">
        <f t="shared" si="4"/>
        <v>0</v>
      </c>
      <c r="N22" s="49">
        <f t="shared" si="5"/>
        <v>0</v>
      </c>
      <c r="O22" s="43"/>
      <c r="P22" s="43"/>
      <c r="Q22" s="15"/>
    </row>
    <row r="23" spans="1:37" s="17" customFormat="1" ht="10.9" customHeight="1" x14ac:dyDescent="0.2">
      <c r="A23" s="50" t="s">
        <v>66</v>
      </c>
      <c r="B23" s="51"/>
      <c r="C23" s="51"/>
      <c r="D23" s="52"/>
      <c r="E23" s="52"/>
      <c r="F23" s="53"/>
      <c r="G23" s="54"/>
      <c r="H23" s="54"/>
      <c r="I23" s="54"/>
      <c r="J23" s="52"/>
      <c r="K23" s="52"/>
      <c r="L23" s="55">
        <f>SUM(L21:L22)</f>
        <v>0</v>
      </c>
      <c r="M23" s="55">
        <f t="shared" ref="M23:N23" si="6">SUM(M21:M22)</f>
        <v>0</v>
      </c>
      <c r="N23" s="55">
        <f t="shared" si="6"/>
        <v>0</v>
      </c>
      <c r="O23" s="43"/>
      <c r="P23" s="43"/>
      <c r="Q23" s="15"/>
    </row>
    <row r="24" spans="1:37" s="17" customFormat="1" ht="10.9" customHeight="1" x14ac:dyDescent="0.2">
      <c r="A24" s="56" t="s">
        <v>16</v>
      </c>
      <c r="B24" s="57"/>
      <c r="C24" s="57"/>
      <c r="D24" s="57"/>
      <c r="E24" s="57"/>
      <c r="F24" s="58"/>
      <c r="G24" s="58"/>
      <c r="H24" s="58"/>
      <c r="I24" s="58"/>
      <c r="J24" s="59"/>
      <c r="K24" s="59"/>
      <c r="L24" s="60">
        <f>+L17+L20+L23</f>
        <v>0</v>
      </c>
      <c r="M24" s="60">
        <f>+M17+M20+M23</f>
        <v>0</v>
      </c>
      <c r="N24" s="60">
        <f>+N17+N20+N23</f>
        <v>0</v>
      </c>
      <c r="O24" s="15"/>
      <c r="P24" s="15"/>
      <c r="Q24" s="15"/>
      <c r="S24" s="61"/>
      <c r="T24" s="62"/>
      <c r="U24" s="63"/>
    </row>
    <row r="25" spans="1:37" ht="10.9" customHeight="1" x14ac:dyDescent="0.2">
      <c r="S25" s="61"/>
      <c r="T25" s="62"/>
      <c r="U25" s="63"/>
    </row>
    <row r="26" spans="1:37" s="17" customFormat="1" ht="10.9" customHeight="1" x14ac:dyDescent="0.2">
      <c r="A26" s="64" t="s">
        <v>6</v>
      </c>
      <c r="B26" s="65"/>
      <c r="C26" s="65"/>
      <c r="D26" s="65"/>
      <c r="E26" s="66"/>
      <c r="F26" s="66"/>
      <c r="G26" s="15"/>
      <c r="H26" s="15"/>
      <c r="I26" s="15"/>
      <c r="J26" s="21"/>
      <c r="K26" s="21"/>
      <c r="L26" s="67"/>
      <c r="M26" s="16"/>
      <c r="N26" s="16"/>
      <c r="O26" s="16"/>
      <c r="P26" s="16"/>
      <c r="Q26" s="16"/>
      <c r="S26" s="61"/>
      <c r="T26" s="62"/>
      <c r="U26" s="6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ht="10.9" customHeight="1" x14ac:dyDescent="0.2">
      <c r="A27" s="68" t="s">
        <v>41</v>
      </c>
      <c r="B27" s="69" t="s">
        <v>37</v>
      </c>
      <c r="C27" s="69" t="s">
        <v>38</v>
      </c>
      <c r="D27" s="69" t="s">
        <v>39</v>
      </c>
      <c r="E27" s="196" t="s">
        <v>73</v>
      </c>
      <c r="F27" s="196"/>
      <c r="G27" s="68"/>
      <c r="H27" s="68" t="s">
        <v>4</v>
      </c>
      <c r="I27" s="68"/>
      <c r="J27" s="68" t="s">
        <v>5</v>
      </c>
      <c r="K27" s="68"/>
      <c r="L27" s="68" t="s">
        <v>52</v>
      </c>
      <c r="M27" s="68" t="s">
        <v>35</v>
      </c>
      <c r="N27" s="68" t="s">
        <v>1</v>
      </c>
      <c r="O27" s="68" t="s">
        <v>61</v>
      </c>
      <c r="P27" s="68" t="s">
        <v>2</v>
      </c>
    </row>
    <row r="28" spans="1:37" ht="10.9" customHeight="1" x14ac:dyDescent="0.2">
      <c r="A28" s="70">
        <v>1</v>
      </c>
      <c r="B28" s="71">
        <v>5</v>
      </c>
      <c r="C28" s="71">
        <v>10</v>
      </c>
      <c r="D28" s="71">
        <v>2022</v>
      </c>
      <c r="E28" s="72" t="s">
        <v>79</v>
      </c>
      <c r="F28" s="72">
        <v>55074</v>
      </c>
      <c r="G28" s="66" t="s">
        <v>88</v>
      </c>
      <c r="H28" s="73"/>
      <c r="I28" s="66"/>
      <c r="J28" s="74">
        <v>77617950</v>
      </c>
      <c r="K28" s="72">
        <v>7</v>
      </c>
      <c r="L28" s="75">
        <v>9410</v>
      </c>
      <c r="M28" s="75">
        <v>0</v>
      </c>
      <c r="N28" s="75">
        <v>1788</v>
      </c>
      <c r="O28" s="75">
        <v>0</v>
      </c>
      <c r="P28" s="75">
        <f>SUM(L28:O28)</f>
        <v>11198</v>
      </c>
      <c r="R28" s="183"/>
      <c r="S28" s="183"/>
      <c r="T28" s="183"/>
      <c r="U28" s="183"/>
      <c r="V28" s="183"/>
    </row>
    <row r="29" spans="1:37" ht="10.9" customHeight="1" x14ac:dyDescent="0.2">
      <c r="A29" s="70">
        <v>2</v>
      </c>
      <c r="B29" s="71">
        <v>27</v>
      </c>
      <c r="C29" s="71">
        <v>10</v>
      </c>
      <c r="D29" s="71">
        <v>2022</v>
      </c>
      <c r="E29" s="72" t="s">
        <v>79</v>
      </c>
      <c r="F29" s="72">
        <v>55308</v>
      </c>
      <c r="G29" s="66" t="s">
        <v>88</v>
      </c>
      <c r="H29" s="73"/>
      <c r="I29" s="66"/>
      <c r="J29" s="74">
        <v>77617950</v>
      </c>
      <c r="K29" s="72">
        <v>7</v>
      </c>
      <c r="L29" s="75">
        <v>23568</v>
      </c>
      <c r="M29" s="75">
        <v>0</v>
      </c>
      <c r="N29" s="76">
        <v>4478</v>
      </c>
      <c r="O29" s="75">
        <v>0</v>
      </c>
      <c r="P29" s="75">
        <f>SUM(L29:O29)</f>
        <v>28046</v>
      </c>
      <c r="U29" s="67"/>
      <c r="V29" s="21"/>
    </row>
    <row r="30" spans="1:37" ht="10.9" customHeight="1" x14ac:dyDescent="0.2">
      <c r="A30" s="70">
        <v>3</v>
      </c>
      <c r="B30" s="71"/>
      <c r="C30" s="71">
        <v>10</v>
      </c>
      <c r="D30" s="71">
        <v>2022</v>
      </c>
      <c r="E30" s="72" t="s">
        <v>79</v>
      </c>
      <c r="F30" s="72"/>
      <c r="G30" s="66"/>
      <c r="H30" s="73"/>
      <c r="I30" s="66"/>
      <c r="J30" s="74"/>
      <c r="K30" s="72"/>
      <c r="L30" s="77">
        <v>0</v>
      </c>
      <c r="M30" s="75">
        <v>0</v>
      </c>
      <c r="N30" s="76">
        <v>0</v>
      </c>
      <c r="O30" s="76">
        <v>0</v>
      </c>
      <c r="P30" s="76">
        <f>SUM(L30:O30)</f>
        <v>0</v>
      </c>
      <c r="U30" s="17"/>
      <c r="W30" s="166"/>
    </row>
    <row r="31" spans="1:37" ht="10.9" customHeight="1" x14ac:dyDescent="0.2">
      <c r="A31" s="70">
        <v>4</v>
      </c>
      <c r="B31" s="71"/>
      <c r="C31" s="71">
        <v>10</v>
      </c>
      <c r="D31" s="71">
        <v>2022</v>
      </c>
      <c r="E31" s="72" t="s">
        <v>79</v>
      </c>
      <c r="F31" s="78"/>
      <c r="G31" s="66"/>
      <c r="H31" s="73"/>
      <c r="I31" s="66"/>
      <c r="J31" s="74"/>
      <c r="K31" s="72"/>
      <c r="L31" s="75">
        <v>0</v>
      </c>
      <c r="M31" s="75">
        <v>0</v>
      </c>
      <c r="N31" s="76">
        <v>0</v>
      </c>
      <c r="O31" s="76">
        <v>0</v>
      </c>
      <c r="P31" s="76">
        <f>SUM(L31:O31)</f>
        <v>0</v>
      </c>
      <c r="U31" s="17"/>
      <c r="W31" s="31"/>
    </row>
    <row r="32" spans="1:37" ht="10.9" customHeight="1" x14ac:dyDescent="0.2">
      <c r="A32" s="14" t="s">
        <v>49</v>
      </c>
      <c r="B32" s="30"/>
      <c r="C32" s="30"/>
      <c r="D32" s="30"/>
      <c r="E32" s="79"/>
      <c r="F32" s="32"/>
      <c r="G32" s="33"/>
      <c r="H32" s="33"/>
      <c r="I32" s="33"/>
      <c r="J32" s="31"/>
      <c r="K32" s="31"/>
      <c r="L32" s="34">
        <f>SUM(L28:L31)</f>
        <v>32978</v>
      </c>
      <c r="M32" s="34">
        <f t="shared" ref="M32:P32" si="7">SUM(M28:M31)</f>
        <v>0</v>
      </c>
      <c r="N32" s="34">
        <f t="shared" si="7"/>
        <v>6266</v>
      </c>
      <c r="O32" s="34">
        <f t="shared" si="7"/>
        <v>0</v>
      </c>
      <c r="P32" s="34">
        <f t="shared" si="7"/>
        <v>39244</v>
      </c>
      <c r="R32" s="15"/>
      <c r="S32" s="67"/>
      <c r="U32" s="67"/>
      <c r="V32" s="170"/>
      <c r="W32" s="167"/>
    </row>
    <row r="33" spans="1:28" ht="10.9" customHeight="1" x14ac:dyDescent="0.2">
      <c r="A33" s="80">
        <v>1</v>
      </c>
      <c r="B33" s="80"/>
      <c r="C33" s="80">
        <v>10</v>
      </c>
      <c r="D33" s="80">
        <v>2022</v>
      </c>
      <c r="E33" s="81" t="s">
        <v>80</v>
      </c>
      <c r="F33" s="82"/>
      <c r="G33" s="83"/>
      <c r="H33" s="84"/>
      <c r="I33" s="83"/>
      <c r="J33" s="85"/>
      <c r="K33" s="86"/>
      <c r="L33" s="87"/>
      <c r="M33" s="88">
        <v>0</v>
      </c>
      <c r="N33" s="88">
        <f t="shared" ref="N33:N34" si="8">ROUND((L33*19%),0)</f>
        <v>0</v>
      </c>
      <c r="O33" s="88">
        <v>0</v>
      </c>
      <c r="P33" s="88">
        <f>SUM(L33:O33)</f>
        <v>0</v>
      </c>
      <c r="R33" s="15"/>
      <c r="S33" s="17"/>
      <c r="U33" s="17"/>
      <c r="V33" s="170"/>
      <c r="W33" s="167"/>
    </row>
    <row r="34" spans="1:28" ht="10.9" customHeight="1" x14ac:dyDescent="0.2">
      <c r="A34" s="80">
        <v>2</v>
      </c>
      <c r="B34" s="80"/>
      <c r="C34" s="80">
        <v>10</v>
      </c>
      <c r="D34" s="80">
        <v>2022</v>
      </c>
      <c r="E34" s="81" t="s">
        <v>80</v>
      </c>
      <c r="F34" s="82"/>
      <c r="G34" s="83"/>
      <c r="H34" s="84"/>
      <c r="I34" s="83"/>
      <c r="J34" s="85"/>
      <c r="K34" s="86"/>
      <c r="L34" s="88"/>
      <c r="M34" s="88">
        <v>0</v>
      </c>
      <c r="N34" s="88">
        <f t="shared" si="8"/>
        <v>0</v>
      </c>
      <c r="O34" s="88">
        <v>0</v>
      </c>
      <c r="P34" s="88">
        <f>SUM(L34:O34)</f>
        <v>0</v>
      </c>
      <c r="R34" s="15"/>
      <c r="U34" s="17"/>
      <c r="V34" s="170"/>
      <c r="W34" s="167"/>
    </row>
    <row r="35" spans="1:28" ht="10.9" customHeight="1" x14ac:dyDescent="0.2">
      <c r="A35" s="39" t="s">
        <v>48</v>
      </c>
      <c r="B35" s="40"/>
      <c r="C35" s="40"/>
      <c r="D35" s="40"/>
      <c r="E35" s="89"/>
      <c r="F35" s="42"/>
      <c r="G35" s="43"/>
      <c r="H35" s="43"/>
      <c r="I35" s="43"/>
      <c r="J35" s="41"/>
      <c r="K35" s="41"/>
      <c r="L35" s="44">
        <f>SUM(L33:L34)</f>
        <v>0</v>
      </c>
      <c r="M35" s="44">
        <f>SUM(M33:M34)</f>
        <v>0</v>
      </c>
      <c r="N35" s="44">
        <f>SUM(N33:N34)</f>
        <v>0</v>
      </c>
      <c r="O35" s="44">
        <f>SUM(O33:O34)</f>
        <v>0</v>
      </c>
      <c r="P35" s="44">
        <f>SUM(P33:P34)</f>
        <v>0</v>
      </c>
      <c r="R35" s="15"/>
      <c r="U35" s="17"/>
      <c r="V35" s="170"/>
      <c r="W35" s="167"/>
    </row>
    <row r="36" spans="1:28" ht="10.9" customHeight="1" x14ac:dyDescent="0.2">
      <c r="A36" s="90" t="s">
        <v>17</v>
      </c>
      <c r="B36" s="69"/>
      <c r="C36" s="69"/>
      <c r="D36" s="69"/>
      <c r="E36" s="69"/>
      <c r="F36" s="91"/>
      <c r="G36" s="91"/>
      <c r="H36" s="91"/>
      <c r="I36" s="91"/>
      <c r="J36" s="92"/>
      <c r="K36" s="92"/>
      <c r="L36" s="93">
        <f>+L32+L35</f>
        <v>32978</v>
      </c>
      <c r="M36" s="93">
        <f>+M32-M35</f>
        <v>0</v>
      </c>
      <c r="N36" s="93">
        <f>N32+N35</f>
        <v>6266</v>
      </c>
      <c r="O36" s="93">
        <f>+O32-O35</f>
        <v>0</v>
      </c>
      <c r="P36" s="93">
        <f>+P32+P35</f>
        <v>39244</v>
      </c>
      <c r="R36" s="15"/>
      <c r="S36" s="17"/>
      <c r="U36" s="17"/>
      <c r="V36" s="170"/>
      <c r="W36" s="167"/>
    </row>
    <row r="37" spans="1:28" ht="10.9" customHeight="1" x14ac:dyDescent="0.2">
      <c r="R37" s="15"/>
      <c r="U37" s="17"/>
      <c r="V37" s="170"/>
      <c r="W37" s="168"/>
    </row>
    <row r="38" spans="1:28" ht="10.9" customHeight="1" x14ac:dyDescent="0.2">
      <c r="A38" s="139" t="s">
        <v>7</v>
      </c>
      <c r="B38" s="140"/>
      <c r="C38" s="140"/>
      <c r="D38" s="140"/>
      <c r="E38" s="140"/>
      <c r="F38" s="141"/>
      <c r="J38" s="21"/>
      <c r="K38" s="21"/>
      <c r="L38" s="16"/>
      <c r="M38" s="16"/>
      <c r="N38" s="16"/>
      <c r="O38" s="16"/>
      <c r="P38" s="16"/>
      <c r="Q38" s="16"/>
      <c r="R38" s="15"/>
      <c r="U38" s="17"/>
      <c r="V38" s="170"/>
      <c r="W38" s="169"/>
    </row>
    <row r="39" spans="1:28" ht="10.9" customHeight="1" x14ac:dyDescent="0.2">
      <c r="A39" s="142" t="s">
        <v>41</v>
      </c>
      <c r="B39" s="143" t="s">
        <v>72</v>
      </c>
      <c r="C39" s="143" t="s">
        <v>38</v>
      </c>
      <c r="D39" s="143" t="s">
        <v>39</v>
      </c>
      <c r="E39" s="197" t="s">
        <v>43</v>
      </c>
      <c r="F39" s="197"/>
      <c r="G39" s="142"/>
      <c r="H39" s="142" t="s">
        <v>8</v>
      </c>
      <c r="I39" s="142"/>
      <c r="J39" s="142" t="s">
        <v>5</v>
      </c>
      <c r="K39" s="142"/>
      <c r="L39" s="142" t="s">
        <v>9</v>
      </c>
      <c r="M39" s="142" t="s">
        <v>69</v>
      </c>
      <c r="N39" s="142" t="s">
        <v>10</v>
      </c>
      <c r="R39" s="15"/>
      <c r="U39" s="17"/>
      <c r="V39" s="170"/>
      <c r="W39" s="170"/>
    </row>
    <row r="40" spans="1:28" ht="10.9" customHeight="1" x14ac:dyDescent="0.2">
      <c r="A40" s="144">
        <v>1</v>
      </c>
      <c r="B40" s="145"/>
      <c r="C40" s="145">
        <v>10</v>
      </c>
      <c r="D40" s="145">
        <v>2022</v>
      </c>
      <c r="E40" s="146" t="s">
        <v>82</v>
      </c>
      <c r="F40" s="147"/>
      <c r="G40" s="151"/>
      <c r="H40" s="152"/>
      <c r="I40" s="152"/>
      <c r="J40" s="153"/>
      <c r="K40" s="146"/>
      <c r="L40" s="154"/>
      <c r="M40" s="155">
        <f>+L40*0.1225</f>
        <v>0</v>
      </c>
      <c r="N40" s="155">
        <f>+L40-M40</f>
        <v>0</v>
      </c>
      <c r="R40" s="15"/>
      <c r="S40" s="17"/>
      <c r="U40" s="17"/>
      <c r="V40" s="170"/>
      <c r="W40" s="169"/>
    </row>
    <row r="41" spans="1:28" ht="10.9" customHeight="1" x14ac:dyDescent="0.2">
      <c r="A41" s="144">
        <v>2</v>
      </c>
      <c r="B41" s="145"/>
      <c r="C41" s="145">
        <v>10</v>
      </c>
      <c r="D41" s="145">
        <v>2022</v>
      </c>
      <c r="E41" s="146" t="s">
        <v>82</v>
      </c>
      <c r="F41" s="147"/>
      <c r="G41" s="151"/>
      <c r="H41" s="152"/>
      <c r="I41" s="152"/>
      <c r="J41" s="153"/>
      <c r="K41" s="146"/>
      <c r="L41" s="154"/>
      <c r="M41" s="155">
        <f t="shared" ref="M41" si="9">+L41*0.1225</f>
        <v>0</v>
      </c>
      <c r="N41" s="155">
        <f t="shared" ref="N41" si="10">+L41-M41</f>
        <v>0</v>
      </c>
      <c r="R41" s="15"/>
      <c r="S41" s="17"/>
      <c r="U41" s="17"/>
      <c r="V41" s="170"/>
      <c r="W41" s="168"/>
    </row>
    <row r="42" spans="1:28" ht="10.9" customHeight="1" x14ac:dyDescent="0.2">
      <c r="A42" s="148" t="s">
        <v>18</v>
      </c>
      <c r="B42" s="149"/>
      <c r="C42" s="149"/>
      <c r="D42" s="149"/>
      <c r="E42" s="143"/>
      <c r="F42" s="150"/>
      <c r="G42" s="150"/>
      <c r="H42" s="150"/>
      <c r="I42" s="150"/>
      <c r="J42" s="156"/>
      <c r="K42" s="156"/>
      <c r="L42" s="157">
        <f>SUM(L40:L41)</f>
        <v>0</v>
      </c>
      <c r="M42" s="157">
        <f>SUM(M40:M41)</f>
        <v>0</v>
      </c>
      <c r="N42" s="157">
        <f>SUM(N40:N41)</f>
        <v>0</v>
      </c>
      <c r="R42" s="15"/>
      <c r="U42" s="17"/>
      <c r="V42" s="170"/>
      <c r="W42" s="169"/>
    </row>
    <row r="44" spans="1:28" ht="10.9" customHeight="1" x14ac:dyDescent="0.2">
      <c r="A44" s="199" t="s">
        <v>91</v>
      </c>
      <c r="B44" s="199"/>
      <c r="C44" s="199"/>
      <c r="D44" s="199"/>
      <c r="E44" s="199"/>
      <c r="F44" s="199"/>
      <c r="G44" s="200" t="s">
        <v>55</v>
      </c>
      <c r="H44" s="200"/>
      <c r="I44" s="200"/>
      <c r="J44" s="200"/>
      <c r="K44" s="200"/>
      <c r="L44" s="201" t="s">
        <v>85</v>
      </c>
      <c r="M44" s="201"/>
      <c r="N44" s="201"/>
      <c r="O44" s="201"/>
      <c r="P44" s="201"/>
      <c r="Q44" s="202" t="s">
        <v>77</v>
      </c>
      <c r="R44" s="202"/>
      <c r="S44" s="203" t="s">
        <v>75</v>
      </c>
      <c r="T44" s="203"/>
      <c r="U44" s="203"/>
      <c r="V44" s="204" t="s">
        <v>12</v>
      </c>
      <c r="W44" s="204"/>
      <c r="X44" s="198" t="s">
        <v>71</v>
      </c>
      <c r="Y44" s="198"/>
      <c r="Z44" s="198"/>
      <c r="AA44" s="198"/>
      <c r="AB44" s="198"/>
    </row>
    <row r="45" spans="1:28" ht="10.9" customHeight="1" x14ac:dyDescent="0.2">
      <c r="A45" s="97" t="s">
        <v>11</v>
      </c>
      <c r="B45" s="98" t="s">
        <v>47</v>
      </c>
      <c r="C45" s="94"/>
      <c r="D45" s="94"/>
      <c r="E45" s="94"/>
      <c r="F45" s="95">
        <f>+L24</f>
        <v>0</v>
      </c>
      <c r="G45" s="96" t="s">
        <v>53</v>
      </c>
      <c r="H45" s="99" t="s">
        <v>52</v>
      </c>
      <c r="I45" s="99" t="s">
        <v>1</v>
      </c>
      <c r="J45" s="99" t="s">
        <v>2</v>
      </c>
      <c r="K45" s="100"/>
      <c r="L45" s="102" t="s">
        <v>52</v>
      </c>
      <c r="M45" s="103" t="s">
        <v>35</v>
      </c>
      <c r="N45" s="102" t="s">
        <v>1</v>
      </c>
      <c r="O45" s="103" t="s">
        <v>68</v>
      </c>
      <c r="P45" s="103" t="s">
        <v>2</v>
      </c>
      <c r="Q45" s="171" t="s">
        <v>78</v>
      </c>
      <c r="R45" s="171" t="s">
        <v>60</v>
      </c>
      <c r="S45" s="104" t="s">
        <v>9</v>
      </c>
      <c r="T45" s="105" t="s">
        <v>76</v>
      </c>
      <c r="U45" s="106" t="s">
        <v>10</v>
      </c>
      <c r="V45" s="101" t="s">
        <v>56</v>
      </c>
      <c r="W45" s="101" t="s">
        <v>57</v>
      </c>
      <c r="X45" s="136" t="s">
        <v>58</v>
      </c>
      <c r="Y45" s="136" t="s">
        <v>70</v>
      </c>
      <c r="Z45" s="136" t="s">
        <v>62</v>
      </c>
      <c r="AA45" s="136" t="s">
        <v>74</v>
      </c>
      <c r="AB45" s="136" t="s">
        <v>59</v>
      </c>
    </row>
    <row r="46" spans="1:28" ht="10.9" customHeight="1" x14ac:dyDescent="0.2">
      <c r="A46" s="97" t="s">
        <v>11</v>
      </c>
      <c r="B46" s="98" t="s">
        <v>13</v>
      </c>
      <c r="C46" s="98"/>
      <c r="D46" s="98"/>
      <c r="E46" s="98"/>
      <c r="F46" s="95">
        <f>+M17</f>
        <v>0</v>
      </c>
      <c r="G46" s="100" t="s">
        <v>22</v>
      </c>
      <c r="H46" s="107">
        <v>0</v>
      </c>
      <c r="I46" s="107">
        <f t="shared" ref="I46:I57" si="11">ROUND((H46*0.19),0)</f>
        <v>0</v>
      </c>
      <c r="J46" s="107">
        <f>SUM(H46:I46)</f>
        <v>0</v>
      </c>
      <c r="K46" s="100"/>
      <c r="L46" s="110">
        <v>0</v>
      </c>
      <c r="M46" s="110">
        <v>0</v>
      </c>
      <c r="N46" s="110">
        <v>0</v>
      </c>
      <c r="O46" s="111">
        <v>0</v>
      </c>
      <c r="P46" s="111">
        <f>SUM(L46:O46)</f>
        <v>0</v>
      </c>
      <c r="Q46" s="172">
        <v>0</v>
      </c>
      <c r="R46" s="172">
        <v>0</v>
      </c>
      <c r="S46" s="112">
        <v>0</v>
      </c>
      <c r="T46" s="112">
        <f>+S46*0.1225</f>
        <v>0</v>
      </c>
      <c r="U46" s="112">
        <f t="shared" ref="U46:U57" si="12">+S46-T46</f>
        <v>0</v>
      </c>
      <c r="V46" s="108"/>
      <c r="W46" s="109">
        <f t="shared" ref="W46:W57" si="13">ROUND((H46*V46),2)</f>
        <v>0</v>
      </c>
      <c r="X46" s="137">
        <v>0</v>
      </c>
      <c r="Y46" s="137">
        <v>0</v>
      </c>
      <c r="Z46" s="137">
        <v>0</v>
      </c>
      <c r="AA46" s="137">
        <v>0</v>
      </c>
      <c r="AB46" s="137">
        <v>0</v>
      </c>
    </row>
    <row r="47" spans="1:28" ht="10.9" customHeight="1" x14ac:dyDescent="0.2">
      <c r="A47" s="97" t="s">
        <v>11</v>
      </c>
      <c r="B47" s="113" t="s">
        <v>45</v>
      </c>
      <c r="C47" s="98"/>
      <c r="D47" s="98"/>
      <c r="E47" s="98"/>
      <c r="F47" s="114">
        <f>+M20</f>
        <v>0</v>
      </c>
      <c r="G47" s="100" t="s">
        <v>23</v>
      </c>
      <c r="H47" s="107">
        <v>0</v>
      </c>
      <c r="I47" s="107">
        <f t="shared" si="11"/>
        <v>0</v>
      </c>
      <c r="J47" s="107">
        <f t="shared" ref="J47:J57" si="14">SUM(H47:I47)</f>
        <v>0</v>
      </c>
      <c r="K47" s="100"/>
      <c r="L47" s="110">
        <v>0</v>
      </c>
      <c r="M47" s="110">
        <v>0</v>
      </c>
      <c r="N47" s="110">
        <v>0</v>
      </c>
      <c r="O47" s="111">
        <v>0</v>
      </c>
      <c r="P47" s="111">
        <f t="shared" ref="P47:P57" si="15">SUM(L47:O47)</f>
        <v>0</v>
      </c>
      <c r="Q47" s="172">
        <v>0</v>
      </c>
      <c r="R47" s="172">
        <v>0</v>
      </c>
      <c r="S47" s="112">
        <v>0</v>
      </c>
      <c r="T47" s="112">
        <f t="shared" ref="T47:T57" si="16">+S47*0.1225</f>
        <v>0</v>
      </c>
      <c r="U47" s="112">
        <f t="shared" si="12"/>
        <v>0</v>
      </c>
      <c r="V47" s="108"/>
      <c r="W47" s="109">
        <f t="shared" si="13"/>
        <v>0</v>
      </c>
      <c r="X47" s="137">
        <v>0</v>
      </c>
      <c r="Y47" s="137">
        <v>0</v>
      </c>
      <c r="Z47" s="137">
        <v>0</v>
      </c>
      <c r="AA47" s="137">
        <v>0</v>
      </c>
      <c r="AB47" s="137">
        <v>0</v>
      </c>
    </row>
    <row r="48" spans="1:28" s="17" customFormat="1" ht="10.9" customHeight="1" x14ac:dyDescent="0.2">
      <c r="A48" s="97" t="s">
        <v>11</v>
      </c>
      <c r="B48" s="115" t="s">
        <v>65</v>
      </c>
      <c r="C48" s="115"/>
      <c r="D48" s="98"/>
      <c r="E48" s="98"/>
      <c r="F48" s="116">
        <v>0</v>
      </c>
      <c r="G48" s="100" t="s">
        <v>24</v>
      </c>
      <c r="H48" s="107">
        <v>0</v>
      </c>
      <c r="I48" s="107">
        <f t="shared" si="11"/>
        <v>0</v>
      </c>
      <c r="J48" s="107">
        <f t="shared" si="14"/>
        <v>0</v>
      </c>
      <c r="K48" s="100"/>
      <c r="L48" s="110">
        <v>0</v>
      </c>
      <c r="M48" s="110">
        <v>0</v>
      </c>
      <c r="N48" s="110">
        <v>0</v>
      </c>
      <c r="O48" s="111">
        <v>0</v>
      </c>
      <c r="P48" s="111">
        <f t="shared" si="15"/>
        <v>0</v>
      </c>
      <c r="Q48" s="172">
        <v>0</v>
      </c>
      <c r="R48" s="172">
        <v>0</v>
      </c>
      <c r="S48" s="112">
        <v>0</v>
      </c>
      <c r="T48" s="112">
        <f t="shared" si="16"/>
        <v>0</v>
      </c>
      <c r="U48" s="112">
        <f t="shared" si="12"/>
        <v>0</v>
      </c>
      <c r="V48" s="108"/>
      <c r="W48" s="109">
        <f t="shared" si="13"/>
        <v>0</v>
      </c>
      <c r="X48" s="137">
        <v>0</v>
      </c>
      <c r="Y48" s="137">
        <v>0</v>
      </c>
      <c r="Z48" s="137">
        <v>0</v>
      </c>
      <c r="AA48" s="137">
        <v>0</v>
      </c>
      <c r="AB48" s="137">
        <v>0</v>
      </c>
    </row>
    <row r="49" spans="1:35" s="17" customFormat="1" ht="10.9" customHeight="1" x14ac:dyDescent="0.2">
      <c r="A49" s="97" t="s">
        <v>11</v>
      </c>
      <c r="B49" s="98" t="s">
        <v>63</v>
      </c>
      <c r="C49" s="98"/>
      <c r="D49" s="98"/>
      <c r="E49" s="98"/>
      <c r="F49" s="117">
        <f>SUM(F46:F47)</f>
        <v>0</v>
      </c>
      <c r="G49" s="100" t="s">
        <v>25</v>
      </c>
      <c r="H49" s="107">
        <v>0</v>
      </c>
      <c r="I49" s="107">
        <f t="shared" si="11"/>
        <v>0</v>
      </c>
      <c r="J49" s="107">
        <f t="shared" si="14"/>
        <v>0</v>
      </c>
      <c r="K49" s="107"/>
      <c r="L49" s="110">
        <v>0</v>
      </c>
      <c r="M49" s="110">
        <v>0</v>
      </c>
      <c r="N49" s="110">
        <v>0</v>
      </c>
      <c r="O49" s="111">
        <v>0</v>
      </c>
      <c r="P49" s="111">
        <f t="shared" si="15"/>
        <v>0</v>
      </c>
      <c r="Q49" s="172">
        <v>0</v>
      </c>
      <c r="R49" s="172">
        <v>0</v>
      </c>
      <c r="S49" s="112">
        <v>0</v>
      </c>
      <c r="T49" s="112">
        <f t="shared" si="16"/>
        <v>0</v>
      </c>
      <c r="U49" s="112">
        <f t="shared" si="12"/>
        <v>0</v>
      </c>
      <c r="V49" s="108"/>
      <c r="W49" s="109">
        <f t="shared" si="13"/>
        <v>0</v>
      </c>
      <c r="X49" s="137">
        <v>0</v>
      </c>
      <c r="Y49" s="137">
        <v>0</v>
      </c>
      <c r="Z49" s="137">
        <v>0</v>
      </c>
      <c r="AA49" s="137">
        <v>0</v>
      </c>
      <c r="AB49" s="137">
        <v>0</v>
      </c>
    </row>
    <row r="50" spans="1:35" s="17" customFormat="1" ht="10.9" customHeight="1" x14ac:dyDescent="0.2">
      <c r="A50" s="97" t="s">
        <v>11</v>
      </c>
      <c r="B50" s="113" t="s">
        <v>14</v>
      </c>
      <c r="C50" s="98"/>
      <c r="D50" s="98"/>
      <c r="E50" s="98"/>
      <c r="F50" s="114">
        <f>-N32</f>
        <v>-6266</v>
      </c>
      <c r="G50" s="100" t="s">
        <v>26</v>
      </c>
      <c r="H50" s="107">
        <v>0</v>
      </c>
      <c r="I50" s="107">
        <f t="shared" si="11"/>
        <v>0</v>
      </c>
      <c r="J50" s="107">
        <f t="shared" si="14"/>
        <v>0</v>
      </c>
      <c r="K50" s="107"/>
      <c r="L50" s="110">
        <v>0</v>
      </c>
      <c r="M50" s="110">
        <v>0</v>
      </c>
      <c r="N50" s="110">
        <v>0</v>
      </c>
      <c r="O50" s="111">
        <v>0</v>
      </c>
      <c r="P50" s="111">
        <f t="shared" si="15"/>
        <v>0</v>
      </c>
      <c r="Q50" s="172">
        <v>0</v>
      </c>
      <c r="R50" s="172">
        <v>0</v>
      </c>
      <c r="S50" s="112">
        <v>0</v>
      </c>
      <c r="T50" s="112">
        <f t="shared" si="16"/>
        <v>0</v>
      </c>
      <c r="U50" s="112">
        <f t="shared" si="12"/>
        <v>0</v>
      </c>
      <c r="V50" s="108"/>
      <c r="W50" s="109">
        <f t="shared" si="13"/>
        <v>0</v>
      </c>
      <c r="X50" s="137">
        <v>0</v>
      </c>
      <c r="Y50" s="137">
        <v>0</v>
      </c>
      <c r="Z50" s="137">
        <v>0</v>
      </c>
      <c r="AA50" s="137">
        <v>0</v>
      </c>
      <c r="AB50" s="137">
        <v>0</v>
      </c>
    </row>
    <row r="51" spans="1:35" s="17" customFormat="1" ht="10.9" customHeight="1" x14ac:dyDescent="0.2">
      <c r="A51" s="97" t="s">
        <v>11</v>
      </c>
      <c r="B51" s="98" t="s">
        <v>46</v>
      </c>
      <c r="C51" s="98"/>
      <c r="D51" s="98"/>
      <c r="E51" s="98"/>
      <c r="F51" s="95">
        <f>-N35</f>
        <v>0</v>
      </c>
      <c r="G51" s="100" t="s">
        <v>27</v>
      </c>
      <c r="H51" s="107">
        <v>0</v>
      </c>
      <c r="I51" s="107">
        <f t="shared" si="11"/>
        <v>0</v>
      </c>
      <c r="J51" s="107">
        <f t="shared" si="14"/>
        <v>0</v>
      </c>
      <c r="K51" s="107"/>
      <c r="L51" s="110">
        <v>0</v>
      </c>
      <c r="M51" s="110">
        <v>0</v>
      </c>
      <c r="N51" s="110">
        <v>0</v>
      </c>
      <c r="O51" s="111">
        <v>0</v>
      </c>
      <c r="P51" s="111">
        <f t="shared" si="15"/>
        <v>0</v>
      </c>
      <c r="Q51" s="172">
        <v>0</v>
      </c>
      <c r="R51" s="172">
        <v>0</v>
      </c>
      <c r="S51" s="112">
        <v>0</v>
      </c>
      <c r="T51" s="112">
        <f t="shared" si="16"/>
        <v>0</v>
      </c>
      <c r="U51" s="112">
        <f t="shared" si="12"/>
        <v>0</v>
      </c>
      <c r="V51" s="108"/>
      <c r="W51" s="109">
        <f t="shared" si="13"/>
        <v>0</v>
      </c>
      <c r="X51" s="137">
        <v>0</v>
      </c>
      <c r="Y51" s="137">
        <v>0</v>
      </c>
      <c r="Z51" s="137">
        <v>0</v>
      </c>
      <c r="AA51" s="137">
        <v>0</v>
      </c>
      <c r="AB51" s="137">
        <v>0</v>
      </c>
    </row>
    <row r="52" spans="1:35" s="17" customFormat="1" ht="10.9" customHeight="1" x14ac:dyDescent="0.2">
      <c r="A52" s="97" t="s">
        <v>11</v>
      </c>
      <c r="B52" s="98" t="s">
        <v>15</v>
      </c>
      <c r="C52" s="98"/>
      <c r="D52" s="98"/>
      <c r="E52" s="98"/>
      <c r="F52" s="95">
        <f>SUM(F49:F51)</f>
        <v>-6266</v>
      </c>
      <c r="G52" s="100" t="s">
        <v>28</v>
      </c>
      <c r="H52" s="107">
        <v>0</v>
      </c>
      <c r="I52" s="107">
        <f t="shared" si="11"/>
        <v>0</v>
      </c>
      <c r="J52" s="107">
        <f t="shared" si="14"/>
        <v>0</v>
      </c>
      <c r="K52" s="107"/>
      <c r="L52" s="110">
        <v>0</v>
      </c>
      <c r="M52" s="110">
        <v>0</v>
      </c>
      <c r="N52" s="110">
        <v>0</v>
      </c>
      <c r="O52" s="111">
        <v>0</v>
      </c>
      <c r="P52" s="111">
        <f t="shared" si="15"/>
        <v>0</v>
      </c>
      <c r="Q52" s="172">
        <v>0</v>
      </c>
      <c r="R52" s="172">
        <v>0</v>
      </c>
      <c r="S52" s="112">
        <v>0</v>
      </c>
      <c r="T52" s="112">
        <f t="shared" si="16"/>
        <v>0</v>
      </c>
      <c r="U52" s="112">
        <f t="shared" si="12"/>
        <v>0</v>
      </c>
      <c r="V52" s="108"/>
      <c r="W52" s="109">
        <f t="shared" si="13"/>
        <v>0</v>
      </c>
      <c r="X52" s="137">
        <v>0</v>
      </c>
      <c r="Y52" s="137">
        <v>0</v>
      </c>
      <c r="Z52" s="137">
        <v>0</v>
      </c>
      <c r="AA52" s="137">
        <v>0</v>
      </c>
      <c r="AB52" s="137">
        <v>0</v>
      </c>
    </row>
    <row r="53" spans="1:35" s="17" customFormat="1" ht="10.9" customHeight="1" x14ac:dyDescent="0.2">
      <c r="A53" s="97" t="s">
        <v>11</v>
      </c>
      <c r="B53" s="98" t="s">
        <v>34</v>
      </c>
      <c r="C53" s="98"/>
      <c r="D53" s="98"/>
      <c r="E53" s="98"/>
      <c r="F53" s="95">
        <f>+M42</f>
        <v>0</v>
      </c>
      <c r="G53" s="100" t="s">
        <v>29</v>
      </c>
      <c r="H53" s="107">
        <v>0</v>
      </c>
      <c r="I53" s="107">
        <f t="shared" si="11"/>
        <v>0</v>
      </c>
      <c r="J53" s="107">
        <f t="shared" si="14"/>
        <v>0</v>
      </c>
      <c r="K53" s="107"/>
      <c r="L53" s="110">
        <v>0</v>
      </c>
      <c r="M53" s="110">
        <v>0</v>
      </c>
      <c r="N53" s="110">
        <v>0</v>
      </c>
      <c r="O53" s="111">
        <v>0</v>
      </c>
      <c r="P53" s="111">
        <f t="shared" si="15"/>
        <v>0</v>
      </c>
      <c r="Q53" s="172">
        <v>0</v>
      </c>
      <c r="R53" s="172">
        <v>0</v>
      </c>
      <c r="S53" s="112">
        <v>0</v>
      </c>
      <c r="T53" s="112">
        <f t="shared" si="16"/>
        <v>0</v>
      </c>
      <c r="U53" s="112">
        <f t="shared" si="12"/>
        <v>0</v>
      </c>
      <c r="V53" s="108"/>
      <c r="W53" s="109">
        <f t="shared" si="13"/>
        <v>0</v>
      </c>
      <c r="X53" s="137">
        <v>0</v>
      </c>
      <c r="Y53" s="137">
        <v>0</v>
      </c>
      <c r="Z53" s="137">
        <v>0</v>
      </c>
      <c r="AA53" s="137">
        <v>0</v>
      </c>
      <c r="AB53" s="137">
        <v>0</v>
      </c>
    </row>
    <row r="54" spans="1:35" s="17" customFormat="1" ht="10.9" customHeight="1" x14ac:dyDescent="0.2">
      <c r="A54" s="97" t="s">
        <v>11</v>
      </c>
      <c r="B54" s="98" t="s">
        <v>12</v>
      </c>
      <c r="C54" s="98"/>
      <c r="D54" s="118">
        <v>0.05</v>
      </c>
      <c r="E54" s="98"/>
      <c r="F54" s="95">
        <f>ROUND((L24*D54),0)</f>
        <v>0</v>
      </c>
      <c r="G54" s="100" t="s">
        <v>30</v>
      </c>
      <c r="H54" s="107">
        <v>0</v>
      </c>
      <c r="I54" s="107">
        <f t="shared" si="11"/>
        <v>0</v>
      </c>
      <c r="J54" s="107">
        <f t="shared" si="14"/>
        <v>0</v>
      </c>
      <c r="K54" s="107"/>
      <c r="L54" s="110">
        <v>76082</v>
      </c>
      <c r="M54" s="110">
        <v>146370</v>
      </c>
      <c r="N54" s="110">
        <v>14456</v>
      </c>
      <c r="O54" s="111">
        <v>0</v>
      </c>
      <c r="P54" s="111">
        <f t="shared" si="15"/>
        <v>236908</v>
      </c>
      <c r="Q54" s="172">
        <v>0</v>
      </c>
      <c r="R54" s="172">
        <v>0</v>
      </c>
      <c r="S54" s="112">
        <v>0</v>
      </c>
      <c r="T54" s="112">
        <f t="shared" si="16"/>
        <v>0</v>
      </c>
      <c r="U54" s="112">
        <f t="shared" si="12"/>
        <v>0</v>
      </c>
      <c r="V54" s="108"/>
      <c r="W54" s="109">
        <f t="shared" si="13"/>
        <v>0</v>
      </c>
      <c r="X54" s="137">
        <v>0</v>
      </c>
      <c r="Y54" s="137">
        <v>0</v>
      </c>
      <c r="Z54" s="137">
        <v>48000</v>
      </c>
      <c r="AA54" s="137">
        <v>0</v>
      </c>
      <c r="AB54" s="137">
        <v>0</v>
      </c>
    </row>
    <row r="55" spans="1:35" s="17" customFormat="1" ht="10.9" customHeight="1" x14ac:dyDescent="0.2">
      <c r="A55" s="97" t="s">
        <v>11</v>
      </c>
      <c r="B55" s="119" t="s">
        <v>67</v>
      </c>
      <c r="C55" s="120"/>
      <c r="D55" s="120"/>
      <c r="E55" s="98"/>
      <c r="F55" s="121">
        <v>0</v>
      </c>
      <c r="G55" s="100" t="s">
        <v>31</v>
      </c>
      <c r="H55" s="107">
        <v>0</v>
      </c>
      <c r="I55" s="107">
        <f t="shared" si="11"/>
        <v>0</v>
      </c>
      <c r="J55" s="107">
        <f t="shared" si="14"/>
        <v>0</v>
      </c>
      <c r="K55" s="107"/>
      <c r="L55" s="110">
        <v>0</v>
      </c>
      <c r="M55" s="110">
        <v>0</v>
      </c>
      <c r="N55" s="110">
        <v>0</v>
      </c>
      <c r="O55" s="111">
        <v>0</v>
      </c>
      <c r="P55" s="111">
        <f t="shared" si="15"/>
        <v>0</v>
      </c>
      <c r="Q55" s="172">
        <v>0</v>
      </c>
      <c r="R55" s="172">
        <v>0</v>
      </c>
      <c r="S55" s="112">
        <v>0</v>
      </c>
      <c r="T55" s="112">
        <f t="shared" si="16"/>
        <v>0</v>
      </c>
      <c r="U55" s="112">
        <f t="shared" si="12"/>
        <v>0</v>
      </c>
      <c r="V55" s="108"/>
      <c r="W55" s="109">
        <f t="shared" si="13"/>
        <v>0</v>
      </c>
      <c r="X55" s="137">
        <v>0</v>
      </c>
      <c r="Y55" s="137">
        <v>0</v>
      </c>
      <c r="Z55" s="137">
        <v>48000</v>
      </c>
      <c r="AA55" s="137">
        <v>0</v>
      </c>
      <c r="AB55" s="137">
        <v>0</v>
      </c>
    </row>
    <row r="56" spans="1:35" s="17" customFormat="1" ht="10.9" customHeight="1" x14ac:dyDescent="0.2">
      <c r="A56" s="97" t="s">
        <v>11</v>
      </c>
      <c r="B56" s="120" t="s">
        <v>19</v>
      </c>
      <c r="C56" s="120"/>
      <c r="D56" s="120"/>
      <c r="E56" s="98"/>
      <c r="F56" s="122">
        <f>SUM(F52:F54)</f>
        <v>-6266</v>
      </c>
      <c r="G56" s="100" t="s">
        <v>32</v>
      </c>
      <c r="H56" s="107">
        <v>0</v>
      </c>
      <c r="I56" s="107">
        <f t="shared" si="11"/>
        <v>0</v>
      </c>
      <c r="J56" s="107">
        <f t="shared" si="14"/>
        <v>0</v>
      </c>
      <c r="K56" s="107"/>
      <c r="L56" s="110">
        <v>0</v>
      </c>
      <c r="M56" s="110">
        <v>0</v>
      </c>
      <c r="N56" s="110">
        <v>0</v>
      </c>
      <c r="O56" s="111">
        <v>0</v>
      </c>
      <c r="P56" s="111">
        <f t="shared" si="15"/>
        <v>0</v>
      </c>
      <c r="Q56" s="172">
        <v>0</v>
      </c>
      <c r="R56" s="172">
        <v>0</v>
      </c>
      <c r="S56" s="112">
        <v>0</v>
      </c>
      <c r="T56" s="112">
        <f t="shared" si="16"/>
        <v>0</v>
      </c>
      <c r="U56" s="112">
        <f t="shared" si="12"/>
        <v>0</v>
      </c>
      <c r="V56" s="108"/>
      <c r="W56" s="109">
        <f t="shared" si="13"/>
        <v>0</v>
      </c>
      <c r="X56" s="137">
        <v>0</v>
      </c>
      <c r="Y56" s="137">
        <v>0</v>
      </c>
      <c r="Z56" s="137">
        <v>0</v>
      </c>
      <c r="AA56" s="137">
        <v>0</v>
      </c>
      <c r="AB56" s="137">
        <v>0</v>
      </c>
    </row>
    <row r="57" spans="1:35" s="17" customFormat="1" ht="10.9" customHeight="1" x14ac:dyDescent="0.2">
      <c r="A57" s="123" t="s">
        <v>20</v>
      </c>
      <c r="B57" s="124"/>
      <c r="C57" s="124"/>
      <c r="D57" s="124"/>
      <c r="E57" s="124"/>
      <c r="F57" s="125">
        <f>+F52+F54</f>
        <v>-6266</v>
      </c>
      <c r="G57" s="100" t="s">
        <v>33</v>
      </c>
      <c r="H57" s="107">
        <v>0</v>
      </c>
      <c r="I57" s="107">
        <f t="shared" si="11"/>
        <v>0</v>
      </c>
      <c r="J57" s="107">
        <f t="shared" si="14"/>
        <v>0</v>
      </c>
      <c r="K57" s="107"/>
      <c r="L57" s="110">
        <v>0</v>
      </c>
      <c r="M57" s="110">
        <v>0</v>
      </c>
      <c r="N57" s="110">
        <v>0</v>
      </c>
      <c r="O57" s="111">
        <v>0</v>
      </c>
      <c r="P57" s="111">
        <f t="shared" si="15"/>
        <v>0</v>
      </c>
      <c r="Q57" s="172">
        <v>0</v>
      </c>
      <c r="R57" s="172">
        <v>0</v>
      </c>
      <c r="S57" s="112">
        <v>0</v>
      </c>
      <c r="T57" s="112">
        <f t="shared" si="16"/>
        <v>0</v>
      </c>
      <c r="U57" s="112">
        <f t="shared" si="12"/>
        <v>0</v>
      </c>
      <c r="V57" s="108"/>
      <c r="W57" s="109">
        <f t="shared" si="13"/>
        <v>0</v>
      </c>
      <c r="X57" s="137">
        <v>0</v>
      </c>
      <c r="Y57" s="137">
        <v>0</v>
      </c>
      <c r="Z57" s="137">
        <v>0</v>
      </c>
      <c r="AA57" s="137">
        <v>0</v>
      </c>
      <c r="AB57" s="137">
        <v>0</v>
      </c>
    </row>
    <row r="58" spans="1:35" s="17" customFormat="1" ht="10.9" customHeight="1" x14ac:dyDescent="0.2">
      <c r="A58" s="123" t="s">
        <v>21</v>
      </c>
      <c r="B58" s="124"/>
      <c r="C58" s="124"/>
      <c r="D58" s="124"/>
      <c r="E58" s="124"/>
      <c r="F58" s="126" t="e">
        <f>+F57/L24</f>
        <v>#DIV/0!</v>
      </c>
      <c r="G58" s="127" t="s">
        <v>36</v>
      </c>
      <c r="H58" s="128">
        <f>SUM(H46:H57)</f>
        <v>0</v>
      </c>
      <c r="I58" s="128">
        <f>SUM(I46:I57)</f>
        <v>0</v>
      </c>
      <c r="J58" s="128">
        <f>SUM(J46:J57)</f>
        <v>0</v>
      </c>
      <c r="K58" s="107"/>
      <c r="L58" s="130">
        <f>SUM(L46:L57)</f>
        <v>76082</v>
      </c>
      <c r="M58" s="130">
        <f t="shared" ref="M58:P58" si="17">SUM(M46:M57)</f>
        <v>146370</v>
      </c>
      <c r="N58" s="130">
        <f t="shared" si="17"/>
        <v>14456</v>
      </c>
      <c r="O58" s="130">
        <f t="shared" si="17"/>
        <v>0</v>
      </c>
      <c r="P58" s="130">
        <f t="shared" si="17"/>
        <v>236908</v>
      </c>
      <c r="Q58" s="173">
        <f>SUM(Q46:Q57)</f>
        <v>0</v>
      </c>
      <c r="R58" s="173">
        <f>SUM(R46:R57)</f>
        <v>0</v>
      </c>
      <c r="S58" s="131">
        <f>SUM(S46:S57)</f>
        <v>0</v>
      </c>
      <c r="T58" s="131">
        <f t="shared" ref="T58:U58" si="18">SUM(T46:T57)</f>
        <v>0</v>
      </c>
      <c r="U58" s="131">
        <f t="shared" si="18"/>
        <v>0</v>
      </c>
      <c r="V58" s="158">
        <f>SUM(V46:V57)</f>
        <v>0</v>
      </c>
      <c r="W58" s="129">
        <f>SUM(W46:W57)</f>
        <v>0</v>
      </c>
      <c r="X58" s="138">
        <f>SUM(X46:X57)</f>
        <v>0</v>
      </c>
      <c r="Y58" s="138">
        <f t="shared" ref="Y58:AB58" si="19">SUM(Y46:Y57)</f>
        <v>0</v>
      </c>
      <c r="Z58" s="138">
        <f t="shared" si="19"/>
        <v>96000</v>
      </c>
      <c r="AA58" s="138">
        <f>SUM(AA46:AA57)</f>
        <v>0</v>
      </c>
      <c r="AB58" s="138">
        <f t="shared" si="19"/>
        <v>0</v>
      </c>
    </row>
    <row r="59" spans="1:35" s="17" customFormat="1" ht="10.9" customHeight="1" x14ac:dyDescent="0.2">
      <c r="A59" s="132" t="s">
        <v>64</v>
      </c>
      <c r="B59" s="133"/>
      <c r="C59" s="133"/>
      <c r="D59" s="133"/>
      <c r="E59" s="133"/>
      <c r="F59" s="134" t="e">
        <f>+F52/L24</f>
        <v>#DIV/0!</v>
      </c>
      <c r="G59" s="159" t="s">
        <v>54</v>
      </c>
      <c r="H59" s="160">
        <f>+H58/1</f>
        <v>0</v>
      </c>
      <c r="I59" s="160">
        <f>+I58/1</f>
        <v>0</v>
      </c>
      <c r="J59" s="160">
        <f>+J58/1</f>
        <v>0</v>
      </c>
      <c r="K59" s="159"/>
      <c r="L59" s="163">
        <f t="shared" ref="L59:AB59" si="20">+L58/1</f>
        <v>76082</v>
      </c>
      <c r="M59" s="163">
        <f t="shared" si="20"/>
        <v>146370</v>
      </c>
      <c r="N59" s="163">
        <f t="shared" si="20"/>
        <v>14456</v>
      </c>
      <c r="O59" s="163">
        <f t="shared" si="20"/>
        <v>0</v>
      </c>
      <c r="P59" s="163">
        <f t="shared" si="20"/>
        <v>236908</v>
      </c>
      <c r="Q59" s="174">
        <f t="shared" si="20"/>
        <v>0</v>
      </c>
      <c r="R59" s="174">
        <f t="shared" si="20"/>
        <v>0</v>
      </c>
      <c r="S59" s="164">
        <f t="shared" si="20"/>
        <v>0</v>
      </c>
      <c r="T59" s="164">
        <f t="shared" si="20"/>
        <v>0</v>
      </c>
      <c r="U59" s="164">
        <f t="shared" si="20"/>
        <v>0</v>
      </c>
      <c r="V59" s="161">
        <f t="shared" si="20"/>
        <v>0</v>
      </c>
      <c r="W59" s="162">
        <f t="shared" si="20"/>
        <v>0</v>
      </c>
      <c r="X59" s="165">
        <f t="shared" si="20"/>
        <v>0</v>
      </c>
      <c r="Y59" s="165">
        <f t="shared" si="20"/>
        <v>0</v>
      </c>
      <c r="Z59" s="165">
        <f t="shared" si="20"/>
        <v>96000</v>
      </c>
      <c r="AA59" s="165">
        <f t="shared" si="20"/>
        <v>0</v>
      </c>
      <c r="AB59" s="165">
        <f t="shared" si="20"/>
        <v>0</v>
      </c>
    </row>
    <row r="60" spans="1:35" s="17" customFormat="1" ht="10.9" customHeight="1" x14ac:dyDescent="0.2">
      <c r="A60" s="15"/>
      <c r="B60" s="15"/>
      <c r="C60" s="15"/>
      <c r="D60" s="15"/>
      <c r="E60" s="15"/>
      <c r="F60" s="15"/>
      <c r="G60" s="15"/>
      <c r="Q60" s="15"/>
      <c r="R60" s="15"/>
      <c r="T60" s="15"/>
      <c r="U60" s="15"/>
    </row>
    <row r="61" spans="1:35" ht="10.9" customHeight="1" x14ac:dyDescent="0.2">
      <c r="X61" s="135"/>
      <c r="AB61" s="135"/>
      <c r="AD61" s="17"/>
      <c r="AF61" s="135"/>
      <c r="AI61" s="135">
        <v>-4.5</v>
      </c>
    </row>
    <row r="62" spans="1:35" ht="10.9" customHeight="1" x14ac:dyDescent="0.2">
      <c r="AD62" s="17"/>
    </row>
  </sheetData>
  <mergeCells count="12">
    <mergeCell ref="X44:AB44"/>
    <mergeCell ref="A44:F44"/>
    <mergeCell ref="G44:K44"/>
    <mergeCell ref="L44:P44"/>
    <mergeCell ref="Q44:R44"/>
    <mergeCell ref="S44:U44"/>
    <mergeCell ref="V44:W44"/>
    <mergeCell ref="B3:D3"/>
    <mergeCell ref="E3:F3"/>
    <mergeCell ref="E4:F4"/>
    <mergeCell ref="E27:F27"/>
    <mergeCell ref="E39:F39"/>
  </mergeCells>
  <pageMargins left="0.7" right="0.7" top="0.75" bottom="0.75" header="0.3" footer="0.3"/>
  <pageSetup paperSize="268" orientation="portrait" r:id="rId1"/>
  <ignoredErrors>
    <ignoredError sqref="M17:N23 N36" formula="1"/>
    <ignoredError sqref="P28:P31 P33" formulaRange="1"/>
    <ignoredError sqref="P32" formula="1" formulaRange="1"/>
    <ignoredError sqref="V43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A06D-D12C-433E-815D-EFC395E30B9A}">
  <dimension ref="A1:AK59"/>
  <sheetViews>
    <sheetView zoomScale="117" zoomScaleNormal="117" workbookViewId="0">
      <pane ySplit="4" topLeftCell="A14" activePane="bottomLeft" state="frozen"/>
      <selection pane="bottomLeft" activeCell="S30" sqref="S30"/>
    </sheetView>
  </sheetViews>
  <sheetFormatPr baseColWidth="10" defaultColWidth="11.42578125" defaultRowHeight="10.9" customHeight="1" x14ac:dyDescent="0.2"/>
  <cols>
    <col min="1" max="3" width="3.7109375" style="15" customWidth="1"/>
    <col min="4" max="4" width="5.7109375" style="15" customWidth="1"/>
    <col min="5" max="5" width="3.7109375" style="15" customWidth="1"/>
    <col min="6" max="10" width="9.28515625" style="15" customWidth="1"/>
    <col min="11" max="11" width="1.7109375" style="15" customWidth="1"/>
    <col min="12" max="17" width="9.28515625" style="15" customWidth="1"/>
    <col min="18" max="18" width="9.28515625" style="17" customWidth="1"/>
    <col min="19" max="28" width="9.28515625" style="15" customWidth="1"/>
    <col min="29" max="16384" width="11.42578125" style="15"/>
  </cols>
  <sheetData>
    <row r="1" spans="1:28" s="17" customFormat="1" ht="10.9" customHeight="1" x14ac:dyDescent="0.2">
      <c r="A1" s="189" t="s">
        <v>98</v>
      </c>
      <c r="B1" s="190"/>
      <c r="C1" s="190"/>
      <c r="D1" s="190"/>
      <c r="E1" s="191"/>
      <c r="F1" s="191"/>
      <c r="G1" s="50" t="s">
        <v>44</v>
      </c>
      <c r="H1" s="63"/>
      <c r="I1" s="191"/>
      <c r="J1" s="191"/>
      <c r="K1" s="192"/>
      <c r="L1" s="191"/>
      <c r="M1" s="193" t="s">
        <v>87</v>
      </c>
      <c r="N1" s="192">
        <v>2022</v>
      </c>
      <c r="O1" s="16"/>
      <c r="P1" s="16"/>
      <c r="Q1" s="16"/>
    </row>
    <row r="2" spans="1:28" s="17" customFormat="1" ht="10.9" customHeight="1" x14ac:dyDescent="0.2">
      <c r="A2" s="18" t="s">
        <v>3</v>
      </c>
      <c r="B2" s="19"/>
      <c r="C2" s="19"/>
      <c r="D2" s="19"/>
      <c r="E2" s="19"/>
      <c r="F2" s="20"/>
      <c r="G2" s="15"/>
      <c r="H2" s="15"/>
      <c r="I2" s="15"/>
      <c r="J2" s="21"/>
      <c r="K2" s="21"/>
      <c r="L2" s="16"/>
      <c r="M2" s="16"/>
      <c r="N2" s="16"/>
      <c r="O2" s="16"/>
      <c r="P2" s="16"/>
      <c r="Q2" s="16"/>
    </row>
    <row r="3" spans="1:28" s="17" customFormat="1" ht="10.9" customHeight="1" x14ac:dyDescent="0.2">
      <c r="A3" s="22" t="s">
        <v>41</v>
      </c>
      <c r="B3" s="194" t="s">
        <v>40</v>
      </c>
      <c r="C3" s="194"/>
      <c r="D3" s="194"/>
      <c r="E3" s="195" t="s">
        <v>84</v>
      </c>
      <c r="F3" s="195"/>
      <c r="G3" s="23"/>
      <c r="H3" s="23"/>
      <c r="I3" s="23"/>
      <c r="J3" s="23"/>
      <c r="K3" s="23"/>
      <c r="L3" s="24"/>
      <c r="M3" s="24"/>
      <c r="N3" s="24"/>
      <c r="O3" s="24"/>
      <c r="P3" s="24"/>
      <c r="Q3" s="24"/>
    </row>
    <row r="4" spans="1:28" s="17" customFormat="1" ht="10.9" customHeight="1" x14ac:dyDescent="0.2">
      <c r="A4" s="22" t="s">
        <v>42</v>
      </c>
      <c r="B4" s="25" t="s">
        <v>37</v>
      </c>
      <c r="C4" s="25" t="s">
        <v>38</v>
      </c>
      <c r="D4" s="25" t="s">
        <v>39</v>
      </c>
      <c r="E4" s="195" t="s">
        <v>83</v>
      </c>
      <c r="F4" s="195"/>
      <c r="G4" s="22"/>
      <c r="H4" s="22" t="s">
        <v>0</v>
      </c>
      <c r="I4" s="22"/>
      <c r="J4" s="22" t="s">
        <v>5</v>
      </c>
      <c r="K4" s="22"/>
      <c r="L4" s="22" t="s">
        <v>52</v>
      </c>
      <c r="M4" s="22" t="s">
        <v>1</v>
      </c>
      <c r="N4" s="22" t="s">
        <v>2</v>
      </c>
      <c r="O4" s="15"/>
      <c r="P4" s="15"/>
      <c r="Q4" s="15"/>
    </row>
    <row r="5" spans="1:28" s="17" customFormat="1" ht="10.9" customHeight="1" x14ac:dyDescent="0.2">
      <c r="A5" s="26">
        <v>1</v>
      </c>
      <c r="B5" s="1"/>
      <c r="C5" s="26">
        <v>9</v>
      </c>
      <c r="D5" s="27">
        <v>2022</v>
      </c>
      <c r="E5" s="27" t="s">
        <v>79</v>
      </c>
      <c r="F5" s="9"/>
      <c r="G5" s="4"/>
      <c r="H5" s="4"/>
      <c r="I5" s="28"/>
      <c r="J5" s="5"/>
      <c r="K5" s="2"/>
      <c r="L5" s="6"/>
      <c r="M5" s="29">
        <f t="shared" ref="M5:M13" si="0">ROUND((L5*19%),0)</f>
        <v>0</v>
      </c>
      <c r="N5" s="29">
        <f>ROUND((L5+M5),0)</f>
        <v>0</v>
      </c>
      <c r="O5" s="15"/>
      <c r="P5" s="15"/>
      <c r="Q5" s="15"/>
    </row>
    <row r="6" spans="1:28" s="17" customFormat="1" ht="10.9" customHeight="1" x14ac:dyDescent="0.2">
      <c r="A6" s="26">
        <v>2</v>
      </c>
      <c r="B6" s="1"/>
      <c r="C6" s="26">
        <v>9</v>
      </c>
      <c r="D6" s="27">
        <v>2022</v>
      </c>
      <c r="E6" s="27" t="s">
        <v>79</v>
      </c>
      <c r="F6" s="9"/>
      <c r="G6" s="4"/>
      <c r="H6" s="4"/>
      <c r="I6" s="28"/>
      <c r="J6" s="5"/>
      <c r="K6" s="2"/>
      <c r="L6" s="6"/>
      <c r="M6" s="29">
        <f t="shared" si="0"/>
        <v>0</v>
      </c>
      <c r="N6" s="29">
        <f t="shared" ref="N6:N13" si="1">ROUND((L6+M6),0)</f>
        <v>0</v>
      </c>
      <c r="O6" s="15"/>
      <c r="P6" s="15"/>
      <c r="Q6" s="15"/>
    </row>
    <row r="7" spans="1:28" s="17" customFormat="1" ht="10.9" customHeight="1" x14ac:dyDescent="0.2">
      <c r="A7" s="26">
        <v>3</v>
      </c>
      <c r="B7" s="1"/>
      <c r="C7" s="26">
        <v>9</v>
      </c>
      <c r="D7" s="27">
        <v>2022</v>
      </c>
      <c r="E7" s="27" t="s">
        <v>79</v>
      </c>
      <c r="F7" s="9"/>
      <c r="G7" s="4"/>
      <c r="H7" s="28"/>
      <c r="I7" s="28"/>
      <c r="J7" s="5"/>
      <c r="K7" s="2"/>
      <c r="L7" s="6"/>
      <c r="M7" s="29">
        <f t="shared" si="0"/>
        <v>0</v>
      </c>
      <c r="N7" s="29">
        <f t="shared" si="1"/>
        <v>0</v>
      </c>
      <c r="O7" s="15"/>
      <c r="P7" s="15"/>
      <c r="Q7" s="15"/>
      <c r="R7" s="177"/>
      <c r="S7" s="178"/>
      <c r="T7" s="178"/>
      <c r="U7" s="178"/>
      <c r="V7" s="21"/>
    </row>
    <row r="8" spans="1:28" s="17" customFormat="1" ht="10.9" customHeight="1" x14ac:dyDescent="0.2">
      <c r="A8" s="26">
        <v>4</v>
      </c>
      <c r="B8" s="1"/>
      <c r="C8" s="26">
        <v>9</v>
      </c>
      <c r="D8" s="27">
        <v>2022</v>
      </c>
      <c r="E8" s="27" t="s">
        <v>79</v>
      </c>
      <c r="F8" s="9"/>
      <c r="G8" s="4"/>
      <c r="H8" s="28"/>
      <c r="I8" s="28"/>
      <c r="J8" s="5"/>
      <c r="K8" s="2"/>
      <c r="L8" s="6"/>
      <c r="M8" s="29">
        <f t="shared" si="0"/>
        <v>0</v>
      </c>
      <c r="N8" s="29">
        <f t="shared" si="1"/>
        <v>0</v>
      </c>
      <c r="O8" s="15"/>
      <c r="P8" s="15"/>
      <c r="Q8" s="15"/>
      <c r="R8" s="21"/>
      <c r="S8" s="15"/>
      <c r="T8" s="179"/>
      <c r="U8" s="15"/>
      <c r="V8" s="180"/>
      <c r="W8" s="21"/>
      <c r="X8" s="181"/>
      <c r="Y8" s="181"/>
      <c r="Z8" s="67"/>
      <c r="AA8" s="181"/>
      <c r="AB8" s="181"/>
    </row>
    <row r="9" spans="1:28" s="17" customFormat="1" ht="10.9" customHeight="1" x14ac:dyDescent="0.2">
      <c r="A9" s="26">
        <v>5</v>
      </c>
      <c r="B9" s="1"/>
      <c r="C9" s="26">
        <v>9</v>
      </c>
      <c r="D9" s="27">
        <v>2022</v>
      </c>
      <c r="E9" s="27" t="s">
        <v>79</v>
      </c>
      <c r="F9" s="9"/>
      <c r="G9" s="4"/>
      <c r="H9" s="28"/>
      <c r="I9" s="28"/>
      <c r="J9" s="5"/>
      <c r="K9" s="2"/>
      <c r="L9" s="6"/>
      <c r="M9" s="29">
        <f t="shared" si="0"/>
        <v>0</v>
      </c>
      <c r="N9" s="29">
        <f t="shared" si="1"/>
        <v>0</v>
      </c>
      <c r="O9" s="15"/>
      <c r="P9" s="15"/>
      <c r="Q9" s="15"/>
    </row>
    <row r="10" spans="1:28" s="17" customFormat="1" ht="10.9" customHeight="1" x14ac:dyDescent="0.2">
      <c r="A10" s="26">
        <v>6</v>
      </c>
      <c r="B10" s="1"/>
      <c r="C10" s="26">
        <v>9</v>
      </c>
      <c r="D10" s="27">
        <v>2022</v>
      </c>
      <c r="E10" s="27" t="s">
        <v>79</v>
      </c>
      <c r="F10" s="9"/>
      <c r="G10" s="4"/>
      <c r="H10" s="4"/>
      <c r="I10" s="28"/>
      <c r="J10" s="5"/>
      <c r="K10" s="2"/>
      <c r="L10" s="6"/>
      <c r="M10" s="29">
        <f t="shared" si="0"/>
        <v>0</v>
      </c>
      <c r="N10" s="29">
        <f t="shared" si="1"/>
        <v>0</v>
      </c>
      <c r="O10" s="15"/>
      <c r="P10" s="15"/>
      <c r="Q10" s="15"/>
    </row>
    <row r="11" spans="1:28" s="17" customFormat="1" ht="10.9" customHeight="1" x14ac:dyDescent="0.2">
      <c r="A11" s="26">
        <v>7</v>
      </c>
      <c r="B11" s="1"/>
      <c r="C11" s="26">
        <v>9</v>
      </c>
      <c r="D11" s="27">
        <v>2022</v>
      </c>
      <c r="E11" s="27" t="s">
        <v>79</v>
      </c>
      <c r="F11" s="9"/>
      <c r="G11" s="4"/>
      <c r="H11" s="4"/>
      <c r="I11" s="28"/>
      <c r="J11" s="5"/>
      <c r="K11" s="2"/>
      <c r="L11" s="6"/>
      <c r="M11" s="29">
        <f t="shared" si="0"/>
        <v>0</v>
      </c>
      <c r="N11" s="29">
        <f t="shared" si="1"/>
        <v>0</v>
      </c>
      <c r="O11" s="15"/>
      <c r="P11" s="15"/>
      <c r="Q11" s="15"/>
    </row>
    <row r="12" spans="1:28" s="17" customFormat="1" ht="10.9" customHeight="1" x14ac:dyDescent="0.2">
      <c r="A12" s="26">
        <v>8</v>
      </c>
      <c r="B12" s="1"/>
      <c r="C12" s="26">
        <v>9</v>
      </c>
      <c r="D12" s="27">
        <v>2022</v>
      </c>
      <c r="E12" s="27" t="s">
        <v>79</v>
      </c>
      <c r="F12" s="9"/>
      <c r="G12" s="4"/>
      <c r="H12" s="4"/>
      <c r="I12" s="28"/>
      <c r="J12" s="5"/>
      <c r="K12" s="2"/>
      <c r="L12" s="6"/>
      <c r="M12" s="29">
        <f t="shared" si="0"/>
        <v>0</v>
      </c>
      <c r="N12" s="29">
        <f t="shared" si="1"/>
        <v>0</v>
      </c>
      <c r="O12" s="15"/>
      <c r="P12" s="15"/>
      <c r="Q12" s="15"/>
    </row>
    <row r="13" spans="1:28" s="17" customFormat="1" ht="10.9" customHeight="1" x14ac:dyDescent="0.2">
      <c r="A13" s="26">
        <v>9</v>
      </c>
      <c r="B13" s="1"/>
      <c r="C13" s="26">
        <v>9</v>
      </c>
      <c r="D13" s="27">
        <v>2022</v>
      </c>
      <c r="E13" s="27" t="s">
        <v>79</v>
      </c>
      <c r="F13" s="9"/>
      <c r="G13" s="4"/>
      <c r="H13" s="4"/>
      <c r="I13" s="28"/>
      <c r="J13" s="5"/>
      <c r="K13" s="2"/>
      <c r="L13" s="6"/>
      <c r="M13" s="29">
        <f t="shared" si="0"/>
        <v>0</v>
      </c>
      <c r="N13" s="29">
        <f t="shared" si="1"/>
        <v>0</v>
      </c>
      <c r="O13" s="15"/>
      <c r="P13" s="15"/>
      <c r="Q13" s="15"/>
    </row>
    <row r="14" spans="1:28" s="17" customFormat="1" ht="10.9" customHeight="1" x14ac:dyDescent="0.2">
      <c r="A14" s="14" t="s">
        <v>51</v>
      </c>
      <c r="B14" s="30"/>
      <c r="C14" s="30"/>
      <c r="D14" s="31"/>
      <c r="E14" s="31"/>
      <c r="F14" s="32"/>
      <c r="G14" s="33"/>
      <c r="H14" s="33"/>
      <c r="I14" s="33"/>
      <c r="J14" s="31"/>
      <c r="K14" s="31"/>
      <c r="L14" s="34">
        <f>SUM(L5:L13)</f>
        <v>0</v>
      </c>
      <c r="M14" s="34">
        <f>SUM(M5:M13)</f>
        <v>0</v>
      </c>
      <c r="N14" s="34">
        <f>SUM(N5:N13)</f>
        <v>0</v>
      </c>
      <c r="O14" s="15"/>
      <c r="P14" s="15"/>
    </row>
    <row r="15" spans="1:28" s="17" customFormat="1" ht="10.9" customHeight="1" x14ac:dyDescent="0.2">
      <c r="A15" s="35">
        <v>1</v>
      </c>
      <c r="B15" s="35"/>
      <c r="C15" s="35">
        <v>9</v>
      </c>
      <c r="D15" s="36">
        <v>2022</v>
      </c>
      <c r="E15" s="36" t="s">
        <v>80</v>
      </c>
      <c r="F15" s="35"/>
      <c r="G15" s="7"/>
      <c r="H15" s="7"/>
      <c r="I15" s="37"/>
      <c r="J15" s="8"/>
      <c r="K15" s="3"/>
      <c r="L15" s="10"/>
      <c r="M15" s="38">
        <f t="shared" ref="M15:M16" si="2">ROUND((L15*19%),0)</f>
        <v>0</v>
      </c>
      <c r="N15" s="38">
        <f>ROUND((L15+M15),0)</f>
        <v>0</v>
      </c>
      <c r="O15" s="15"/>
      <c r="P15" s="15"/>
      <c r="Q15" s="15"/>
    </row>
    <row r="16" spans="1:28" s="17" customFormat="1" ht="10.9" customHeight="1" x14ac:dyDescent="0.2">
      <c r="A16" s="35">
        <v>2</v>
      </c>
      <c r="B16" s="35"/>
      <c r="C16" s="35">
        <v>9</v>
      </c>
      <c r="D16" s="36">
        <v>2022</v>
      </c>
      <c r="E16" s="36" t="s">
        <v>80</v>
      </c>
      <c r="F16" s="35"/>
      <c r="G16" s="7"/>
      <c r="H16" s="7"/>
      <c r="I16" s="37"/>
      <c r="J16" s="8"/>
      <c r="K16" s="3"/>
      <c r="L16" s="10"/>
      <c r="M16" s="38">
        <f t="shared" si="2"/>
        <v>0</v>
      </c>
      <c r="N16" s="38">
        <f t="shared" ref="N16" si="3">ROUND((L16+M16),0)</f>
        <v>0</v>
      </c>
      <c r="O16" s="15"/>
      <c r="P16" s="15"/>
      <c r="Q16" s="15"/>
    </row>
    <row r="17" spans="1:37" s="17" customFormat="1" ht="10.9" customHeight="1" x14ac:dyDescent="0.2">
      <c r="A17" s="39" t="s">
        <v>50</v>
      </c>
      <c r="B17" s="40"/>
      <c r="C17" s="40"/>
      <c r="D17" s="41"/>
      <c r="E17" s="41"/>
      <c r="F17" s="42"/>
      <c r="G17" s="43"/>
      <c r="H17" s="43"/>
      <c r="I17" s="43"/>
      <c r="J17" s="41"/>
      <c r="K17" s="41"/>
      <c r="L17" s="44">
        <f>SUM(L15:L16)</f>
        <v>0</v>
      </c>
      <c r="M17" s="44">
        <f>SUM(M15:M16)</f>
        <v>0</v>
      </c>
      <c r="N17" s="44">
        <f>SUM(N15:N16)</f>
        <v>0</v>
      </c>
      <c r="O17" s="43"/>
      <c r="P17" s="43"/>
      <c r="Q17" s="135"/>
      <c r="R17" s="15"/>
      <c r="S17" s="135"/>
    </row>
    <row r="18" spans="1:37" s="17" customFormat="1" ht="10.9" customHeight="1" x14ac:dyDescent="0.2">
      <c r="A18" s="45">
        <v>1</v>
      </c>
      <c r="B18" s="45"/>
      <c r="C18" s="45">
        <v>9</v>
      </c>
      <c r="D18" s="46">
        <v>2022</v>
      </c>
      <c r="E18" s="46" t="s">
        <v>81</v>
      </c>
      <c r="F18" s="47"/>
      <c r="G18" s="11"/>
      <c r="H18" s="48"/>
      <c r="I18" s="48"/>
      <c r="J18" s="12"/>
      <c r="K18" s="13"/>
      <c r="L18" s="49"/>
      <c r="M18" s="49">
        <f t="shared" ref="M18" si="4">ROUND((L18*19%),0)</f>
        <v>0</v>
      </c>
      <c r="N18" s="49">
        <f t="shared" ref="N18" si="5">SUM(L18:M18)</f>
        <v>0</v>
      </c>
      <c r="O18" s="43"/>
      <c r="P18" s="43"/>
      <c r="R18" s="15"/>
    </row>
    <row r="19" spans="1:37" s="17" customFormat="1" ht="10.9" customHeight="1" x14ac:dyDescent="0.2">
      <c r="A19" s="45">
        <v>2</v>
      </c>
      <c r="B19" s="45"/>
      <c r="C19" s="45">
        <v>9</v>
      </c>
      <c r="D19" s="46">
        <v>2022</v>
      </c>
      <c r="E19" s="46" t="s">
        <v>81</v>
      </c>
      <c r="F19" s="47"/>
      <c r="G19" s="48"/>
      <c r="H19" s="48"/>
      <c r="I19" s="48"/>
      <c r="J19" s="46"/>
      <c r="K19" s="46"/>
      <c r="L19" s="49"/>
      <c r="M19" s="49">
        <f t="shared" ref="M19" si="6">ROUND((L19*19%),0)</f>
        <v>0</v>
      </c>
      <c r="N19" s="49">
        <f t="shared" ref="N19" si="7">SUM(L19:M19)</f>
        <v>0</v>
      </c>
      <c r="O19" s="43"/>
      <c r="P19" s="43"/>
      <c r="Q19" s="15"/>
    </row>
    <row r="20" spans="1:37" s="17" customFormat="1" ht="10.9" customHeight="1" x14ac:dyDescent="0.2">
      <c r="A20" s="50" t="s">
        <v>66</v>
      </c>
      <c r="B20" s="51"/>
      <c r="C20" s="51"/>
      <c r="D20" s="52"/>
      <c r="E20" s="52"/>
      <c r="F20" s="53"/>
      <c r="G20" s="54"/>
      <c r="H20" s="54"/>
      <c r="I20" s="54"/>
      <c r="J20" s="52"/>
      <c r="K20" s="52"/>
      <c r="L20" s="55">
        <f>SUM(L18:L19)</f>
        <v>0</v>
      </c>
      <c r="M20" s="55">
        <f t="shared" ref="M20:N20" si="8">SUM(M18:M19)</f>
        <v>0</v>
      </c>
      <c r="N20" s="55">
        <f t="shared" si="8"/>
        <v>0</v>
      </c>
      <c r="O20" s="43"/>
      <c r="P20" s="43"/>
      <c r="Q20" s="15"/>
    </row>
    <row r="21" spans="1:37" s="17" customFormat="1" ht="10.9" customHeight="1" x14ac:dyDescent="0.2">
      <c r="A21" s="56" t="s">
        <v>16</v>
      </c>
      <c r="B21" s="57"/>
      <c r="C21" s="57"/>
      <c r="D21" s="57"/>
      <c r="E21" s="57"/>
      <c r="F21" s="58"/>
      <c r="G21" s="58"/>
      <c r="H21" s="58"/>
      <c r="I21" s="58"/>
      <c r="J21" s="59"/>
      <c r="K21" s="59"/>
      <c r="L21" s="60">
        <f>+L14+L17+L20</f>
        <v>0</v>
      </c>
      <c r="M21" s="60">
        <f>+M14+M17+M20</f>
        <v>0</v>
      </c>
      <c r="N21" s="60">
        <f>+N14+N17+N20</f>
        <v>0</v>
      </c>
      <c r="O21" s="15"/>
      <c r="P21" s="15"/>
      <c r="Q21" s="15"/>
      <c r="S21" s="61"/>
      <c r="T21" s="62"/>
      <c r="U21" s="63"/>
    </row>
    <row r="22" spans="1:37" ht="10.9" customHeight="1" x14ac:dyDescent="0.2">
      <c r="S22" s="61"/>
      <c r="T22" s="62"/>
      <c r="U22" s="63"/>
    </row>
    <row r="23" spans="1:37" s="17" customFormat="1" ht="10.9" customHeight="1" x14ac:dyDescent="0.2">
      <c r="A23" s="64" t="s">
        <v>6</v>
      </c>
      <c r="B23" s="65"/>
      <c r="C23" s="65"/>
      <c r="D23" s="65"/>
      <c r="E23" s="66"/>
      <c r="F23" s="66"/>
      <c r="G23" s="15"/>
      <c r="H23" s="15"/>
      <c r="I23" s="15"/>
      <c r="J23" s="21"/>
      <c r="K23" s="21"/>
      <c r="L23" s="67"/>
      <c r="M23" s="16"/>
      <c r="N23" s="16"/>
      <c r="O23" s="16"/>
      <c r="P23" s="16"/>
      <c r="Q23" s="16"/>
      <c r="S23" s="61"/>
      <c r="T23" s="62"/>
      <c r="U23" s="63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spans="1:37" ht="10.9" customHeight="1" x14ac:dyDescent="0.2">
      <c r="A24" s="68" t="s">
        <v>41</v>
      </c>
      <c r="B24" s="69" t="s">
        <v>37</v>
      </c>
      <c r="C24" s="69" t="s">
        <v>38</v>
      </c>
      <c r="D24" s="69" t="s">
        <v>39</v>
      </c>
      <c r="E24" s="196" t="s">
        <v>73</v>
      </c>
      <c r="F24" s="196"/>
      <c r="G24" s="68"/>
      <c r="H24" s="68" t="s">
        <v>4</v>
      </c>
      <c r="I24" s="68"/>
      <c r="J24" s="68" t="s">
        <v>5</v>
      </c>
      <c r="K24" s="68"/>
      <c r="L24" s="68" t="s">
        <v>52</v>
      </c>
      <c r="M24" s="68" t="s">
        <v>35</v>
      </c>
      <c r="N24" s="68" t="s">
        <v>1</v>
      </c>
      <c r="O24" s="68" t="s">
        <v>61</v>
      </c>
      <c r="P24" s="68" t="s">
        <v>2</v>
      </c>
      <c r="S24" s="61"/>
      <c r="T24" s="62"/>
      <c r="U24" s="63"/>
    </row>
    <row r="25" spans="1:37" ht="10.9" customHeight="1" x14ac:dyDescent="0.2">
      <c r="A25" s="70">
        <v>1</v>
      </c>
      <c r="B25" s="71">
        <v>1</v>
      </c>
      <c r="C25" s="71">
        <v>9</v>
      </c>
      <c r="D25" s="71">
        <v>2022</v>
      </c>
      <c r="E25" s="72" t="s">
        <v>79</v>
      </c>
      <c r="F25" s="72">
        <v>2879508</v>
      </c>
      <c r="G25" s="176" t="s">
        <v>90</v>
      </c>
      <c r="H25" s="175"/>
      <c r="I25" s="175"/>
      <c r="J25" s="74">
        <v>94510000</v>
      </c>
      <c r="K25" s="175">
        <v>1</v>
      </c>
      <c r="L25" s="75">
        <v>50732</v>
      </c>
      <c r="M25" s="75">
        <v>0</v>
      </c>
      <c r="N25" s="75">
        <v>9639</v>
      </c>
      <c r="O25" s="75">
        <v>0</v>
      </c>
      <c r="P25" s="75">
        <f>SUM(L25:O25)</f>
        <v>60371</v>
      </c>
      <c r="S25" s="61"/>
      <c r="T25" s="62"/>
      <c r="U25" s="63"/>
    </row>
    <row r="26" spans="1:37" ht="10.9" customHeight="1" x14ac:dyDescent="0.2">
      <c r="A26" s="70">
        <v>2</v>
      </c>
      <c r="B26" s="71">
        <v>2</v>
      </c>
      <c r="C26" s="71">
        <v>9</v>
      </c>
      <c r="D26" s="71">
        <v>2022</v>
      </c>
      <c r="E26" s="72" t="s">
        <v>79</v>
      </c>
      <c r="F26" s="72">
        <v>54627</v>
      </c>
      <c r="G26" s="66" t="s">
        <v>88</v>
      </c>
      <c r="H26" s="73"/>
      <c r="I26" s="66"/>
      <c r="J26" s="74">
        <v>77617950</v>
      </c>
      <c r="K26" s="72">
        <v>7</v>
      </c>
      <c r="L26" s="75">
        <v>12288</v>
      </c>
      <c r="M26" s="75">
        <v>0</v>
      </c>
      <c r="N26" s="76">
        <v>2335</v>
      </c>
      <c r="O26" s="75">
        <v>0</v>
      </c>
      <c r="P26" s="75">
        <f>SUM(L26:O26)</f>
        <v>14623</v>
      </c>
      <c r="R26" s="183"/>
      <c r="S26" s="183"/>
      <c r="T26" s="183"/>
      <c r="U26" s="183"/>
      <c r="V26" s="183"/>
    </row>
    <row r="27" spans="1:37" ht="10.9" customHeight="1" x14ac:dyDescent="0.2">
      <c r="A27" s="70">
        <v>3</v>
      </c>
      <c r="B27" s="71">
        <v>5</v>
      </c>
      <c r="C27" s="71">
        <v>9</v>
      </c>
      <c r="D27" s="71">
        <v>2022</v>
      </c>
      <c r="E27" s="72" t="s">
        <v>79</v>
      </c>
      <c r="F27" s="72">
        <v>3274</v>
      </c>
      <c r="G27" s="66" t="s">
        <v>89</v>
      </c>
      <c r="H27" s="73"/>
      <c r="I27" s="66"/>
      <c r="J27" s="74">
        <v>76277371</v>
      </c>
      <c r="K27" s="72">
        <v>6</v>
      </c>
      <c r="L27" s="77">
        <v>0</v>
      </c>
      <c r="M27" s="75">
        <v>146370</v>
      </c>
      <c r="N27" s="76">
        <v>0</v>
      </c>
      <c r="O27" s="76">
        <v>0</v>
      </c>
      <c r="P27" s="76">
        <f>SUM(L27:O27)</f>
        <v>146370</v>
      </c>
      <c r="U27" s="67"/>
      <c r="V27" s="21"/>
      <c r="W27" s="166"/>
    </row>
    <row r="28" spans="1:37" ht="10.9" customHeight="1" x14ac:dyDescent="0.2">
      <c r="A28" s="70">
        <v>4</v>
      </c>
      <c r="B28" s="71">
        <v>30</v>
      </c>
      <c r="C28" s="71">
        <v>9</v>
      </c>
      <c r="D28" s="71">
        <v>2022</v>
      </c>
      <c r="E28" s="72" t="s">
        <v>79</v>
      </c>
      <c r="F28" s="78">
        <v>54948</v>
      </c>
      <c r="G28" s="66" t="s">
        <v>88</v>
      </c>
      <c r="H28" s="73"/>
      <c r="I28" s="66"/>
      <c r="J28" s="74">
        <v>77617950</v>
      </c>
      <c r="K28" s="72">
        <v>7</v>
      </c>
      <c r="L28" s="75">
        <v>13062</v>
      </c>
      <c r="M28" s="75">
        <v>0</v>
      </c>
      <c r="N28" s="76">
        <v>2482</v>
      </c>
      <c r="O28" s="76">
        <v>0</v>
      </c>
      <c r="P28" s="76">
        <f>SUM(L28:O28)</f>
        <v>15544</v>
      </c>
      <c r="S28" s="67"/>
      <c r="U28" s="67"/>
      <c r="V28" s="170"/>
      <c r="W28" s="31"/>
    </row>
    <row r="29" spans="1:37" ht="10.9" customHeight="1" x14ac:dyDescent="0.2">
      <c r="A29" s="14" t="s">
        <v>49</v>
      </c>
      <c r="B29" s="30"/>
      <c r="C29" s="30"/>
      <c r="D29" s="30"/>
      <c r="E29" s="79"/>
      <c r="F29" s="32"/>
      <c r="G29" s="33"/>
      <c r="H29" s="33"/>
      <c r="I29" s="33"/>
      <c r="J29" s="31"/>
      <c r="K29" s="31"/>
      <c r="L29" s="34">
        <f>SUM(L25:L28)</f>
        <v>76082</v>
      </c>
      <c r="M29" s="34">
        <f t="shared" ref="M29:P29" si="9">SUM(M25:M28)</f>
        <v>146370</v>
      </c>
      <c r="N29" s="34">
        <f t="shared" si="9"/>
        <v>14456</v>
      </c>
      <c r="O29" s="34">
        <f t="shared" si="9"/>
        <v>0</v>
      </c>
      <c r="P29" s="34">
        <f t="shared" si="9"/>
        <v>236908</v>
      </c>
      <c r="R29" s="15"/>
      <c r="S29" s="17"/>
      <c r="U29" s="17"/>
      <c r="V29" s="170"/>
      <c r="W29" s="167"/>
    </row>
    <row r="30" spans="1:37" ht="10.9" customHeight="1" x14ac:dyDescent="0.2">
      <c r="A30" s="80">
        <v>1</v>
      </c>
      <c r="B30" s="80"/>
      <c r="C30" s="80">
        <v>9</v>
      </c>
      <c r="D30" s="80">
        <v>2022</v>
      </c>
      <c r="E30" s="81" t="s">
        <v>80</v>
      </c>
      <c r="F30" s="82"/>
      <c r="G30" s="83"/>
      <c r="H30" s="84"/>
      <c r="I30" s="83"/>
      <c r="J30" s="85"/>
      <c r="K30" s="86"/>
      <c r="L30" s="87"/>
      <c r="M30" s="88">
        <v>0</v>
      </c>
      <c r="N30" s="88">
        <f t="shared" ref="N30:N31" si="10">ROUND((L30*19%),0)</f>
        <v>0</v>
      </c>
      <c r="O30" s="88">
        <v>0</v>
      </c>
      <c r="P30" s="88">
        <f>SUM(L30:O30)</f>
        <v>0</v>
      </c>
      <c r="R30" s="15"/>
      <c r="V30" s="170"/>
      <c r="W30" s="167"/>
    </row>
    <row r="31" spans="1:37" ht="10.9" customHeight="1" x14ac:dyDescent="0.2">
      <c r="A31" s="80">
        <v>2</v>
      </c>
      <c r="B31" s="80"/>
      <c r="C31" s="80">
        <v>9</v>
      </c>
      <c r="D31" s="80">
        <v>2022</v>
      </c>
      <c r="E31" s="81" t="s">
        <v>80</v>
      </c>
      <c r="F31" s="82"/>
      <c r="G31" s="83"/>
      <c r="H31" s="84"/>
      <c r="I31" s="83"/>
      <c r="J31" s="85"/>
      <c r="K31" s="86"/>
      <c r="L31" s="88"/>
      <c r="M31" s="88">
        <v>0</v>
      </c>
      <c r="N31" s="88">
        <f t="shared" si="10"/>
        <v>0</v>
      </c>
      <c r="O31" s="88">
        <v>0</v>
      </c>
      <c r="P31" s="88">
        <f>SUM(L31:O31)</f>
        <v>0</v>
      </c>
      <c r="R31" s="15"/>
      <c r="V31" s="170"/>
      <c r="W31" s="167"/>
    </row>
    <row r="32" spans="1:37" ht="10.9" customHeight="1" x14ac:dyDescent="0.2">
      <c r="A32" s="39" t="s">
        <v>48</v>
      </c>
      <c r="B32" s="40"/>
      <c r="C32" s="40"/>
      <c r="D32" s="40"/>
      <c r="E32" s="89"/>
      <c r="F32" s="42"/>
      <c r="G32" s="43"/>
      <c r="H32" s="43"/>
      <c r="I32" s="43"/>
      <c r="J32" s="41"/>
      <c r="K32" s="41"/>
      <c r="L32" s="44">
        <f>SUM(L30:L31)</f>
        <v>0</v>
      </c>
      <c r="M32" s="44">
        <f>SUM(M30:M31)</f>
        <v>0</v>
      </c>
      <c r="N32" s="44">
        <f>SUM(N30:N31)</f>
        <v>0</v>
      </c>
      <c r="O32" s="44">
        <f>SUM(O30:O31)</f>
        <v>0</v>
      </c>
      <c r="P32" s="44">
        <f>SUM(P30:P31)</f>
        <v>0</v>
      </c>
      <c r="R32" s="15"/>
      <c r="S32" s="17"/>
      <c r="U32" s="17"/>
      <c r="V32" s="170"/>
      <c r="W32" s="167"/>
    </row>
    <row r="33" spans="1:28" ht="10.9" customHeight="1" x14ac:dyDescent="0.2">
      <c r="A33" s="90" t="s">
        <v>17</v>
      </c>
      <c r="B33" s="69"/>
      <c r="C33" s="69"/>
      <c r="D33" s="69"/>
      <c r="E33" s="69"/>
      <c r="F33" s="91"/>
      <c r="G33" s="91"/>
      <c r="H33" s="91"/>
      <c r="I33" s="91"/>
      <c r="J33" s="92"/>
      <c r="K33" s="92"/>
      <c r="L33" s="93">
        <f>+L29+L32</f>
        <v>76082</v>
      </c>
      <c r="M33" s="93">
        <f>+M29-M32</f>
        <v>146370</v>
      </c>
      <c r="N33" s="93">
        <f>N29+N32</f>
        <v>14456</v>
      </c>
      <c r="O33" s="93">
        <f>+O29-O32</f>
        <v>0</v>
      </c>
      <c r="P33" s="93">
        <f>+P29+P32</f>
        <v>236908</v>
      </c>
      <c r="R33" s="15"/>
      <c r="S33" s="17"/>
      <c r="U33" s="17"/>
      <c r="V33" s="170"/>
      <c r="W33" s="167"/>
    </row>
    <row r="34" spans="1:28" ht="10.9" customHeight="1" x14ac:dyDescent="0.2">
      <c r="R34" s="15"/>
      <c r="U34" s="17"/>
      <c r="V34" s="170"/>
      <c r="W34" s="168"/>
    </row>
    <row r="35" spans="1:28" ht="10.9" customHeight="1" x14ac:dyDescent="0.2">
      <c r="A35" s="139" t="s">
        <v>7</v>
      </c>
      <c r="B35" s="140"/>
      <c r="C35" s="140"/>
      <c r="D35" s="140"/>
      <c r="E35" s="140"/>
      <c r="F35" s="141"/>
      <c r="J35" s="21"/>
      <c r="K35" s="21"/>
      <c r="L35" s="16"/>
      <c r="M35" s="16"/>
      <c r="N35" s="16"/>
      <c r="O35" s="16"/>
      <c r="P35" s="16"/>
      <c r="Q35" s="16"/>
      <c r="R35" s="15"/>
      <c r="U35" s="17"/>
      <c r="V35" s="170"/>
      <c r="W35" s="169"/>
    </row>
    <row r="36" spans="1:28" ht="10.9" customHeight="1" x14ac:dyDescent="0.2">
      <c r="A36" s="142" t="s">
        <v>41</v>
      </c>
      <c r="B36" s="143" t="s">
        <v>72</v>
      </c>
      <c r="C36" s="143" t="s">
        <v>38</v>
      </c>
      <c r="D36" s="143" t="s">
        <v>39</v>
      </c>
      <c r="E36" s="197" t="s">
        <v>43</v>
      </c>
      <c r="F36" s="197"/>
      <c r="G36" s="142"/>
      <c r="H36" s="142" t="s">
        <v>8</v>
      </c>
      <c r="I36" s="142"/>
      <c r="J36" s="142" t="s">
        <v>5</v>
      </c>
      <c r="K36" s="142"/>
      <c r="L36" s="142" t="s">
        <v>9</v>
      </c>
      <c r="M36" s="142" t="s">
        <v>69</v>
      </c>
      <c r="N36" s="142" t="s">
        <v>10</v>
      </c>
      <c r="R36" s="15"/>
      <c r="U36" s="182"/>
      <c r="V36" s="170"/>
      <c r="W36" s="170"/>
    </row>
    <row r="37" spans="1:28" ht="10.9" customHeight="1" x14ac:dyDescent="0.2">
      <c r="A37" s="144">
        <v>1</v>
      </c>
      <c r="B37" s="145"/>
      <c r="C37" s="145">
        <v>9</v>
      </c>
      <c r="D37" s="145">
        <v>2022</v>
      </c>
      <c r="E37" s="146" t="s">
        <v>82</v>
      </c>
      <c r="F37" s="147"/>
      <c r="G37" s="151"/>
      <c r="H37" s="152"/>
      <c r="I37" s="152"/>
      <c r="J37" s="153"/>
      <c r="K37" s="146"/>
      <c r="L37" s="154"/>
      <c r="M37" s="155">
        <f>+L37*0.1225</f>
        <v>0</v>
      </c>
      <c r="N37" s="155">
        <f>+L37-M37</f>
        <v>0</v>
      </c>
      <c r="R37" s="15"/>
      <c r="S37" s="17"/>
      <c r="U37" s="17"/>
      <c r="V37" s="170"/>
      <c r="W37" s="169"/>
    </row>
    <row r="38" spans="1:28" ht="10.9" customHeight="1" x14ac:dyDescent="0.2">
      <c r="A38" s="144">
        <v>2</v>
      </c>
      <c r="B38" s="145"/>
      <c r="C38" s="145">
        <v>9</v>
      </c>
      <c r="D38" s="145">
        <v>2022</v>
      </c>
      <c r="E38" s="146" t="s">
        <v>82</v>
      </c>
      <c r="F38" s="147"/>
      <c r="G38" s="151"/>
      <c r="H38" s="152"/>
      <c r="I38" s="152"/>
      <c r="J38" s="153"/>
      <c r="K38" s="146"/>
      <c r="L38" s="154"/>
      <c r="M38" s="155">
        <f t="shared" ref="M38" si="11">+L38*0.1225</f>
        <v>0</v>
      </c>
      <c r="N38" s="155">
        <f t="shared" ref="N38" si="12">+L38-M38</f>
        <v>0</v>
      </c>
      <c r="R38" s="15"/>
      <c r="S38" s="17"/>
      <c r="U38" s="17"/>
      <c r="V38" s="170"/>
      <c r="W38" s="168"/>
    </row>
    <row r="39" spans="1:28" ht="10.9" customHeight="1" x14ac:dyDescent="0.2">
      <c r="A39" s="148" t="s">
        <v>18</v>
      </c>
      <c r="B39" s="149"/>
      <c r="C39" s="149"/>
      <c r="D39" s="149"/>
      <c r="E39" s="143"/>
      <c r="F39" s="150"/>
      <c r="G39" s="150"/>
      <c r="H39" s="150"/>
      <c r="I39" s="150"/>
      <c r="J39" s="156"/>
      <c r="K39" s="156"/>
      <c r="L39" s="157">
        <f>SUM(L37:L38)</f>
        <v>0</v>
      </c>
      <c r="M39" s="157">
        <f>SUM(M37:M38)</f>
        <v>0</v>
      </c>
      <c r="N39" s="157">
        <f>SUM(N37:N38)</f>
        <v>0</v>
      </c>
      <c r="R39" s="15"/>
      <c r="U39" s="17"/>
      <c r="V39" s="170"/>
      <c r="W39" s="169"/>
    </row>
    <row r="41" spans="1:28" ht="10.9" customHeight="1" x14ac:dyDescent="0.2">
      <c r="A41" s="199" t="s">
        <v>86</v>
      </c>
      <c r="B41" s="199"/>
      <c r="C41" s="199"/>
      <c r="D41" s="199"/>
      <c r="E41" s="199"/>
      <c r="F41" s="199"/>
      <c r="G41" s="200" t="s">
        <v>55</v>
      </c>
      <c r="H41" s="200"/>
      <c r="I41" s="200"/>
      <c r="J41" s="200"/>
      <c r="K41" s="200"/>
      <c r="L41" s="201" t="s">
        <v>85</v>
      </c>
      <c r="M41" s="201"/>
      <c r="N41" s="201"/>
      <c r="O41" s="201"/>
      <c r="P41" s="201"/>
      <c r="Q41" s="202" t="s">
        <v>77</v>
      </c>
      <c r="R41" s="202"/>
      <c r="S41" s="203" t="s">
        <v>75</v>
      </c>
      <c r="T41" s="203"/>
      <c r="U41" s="203"/>
      <c r="V41" s="204" t="s">
        <v>12</v>
      </c>
      <c r="W41" s="204"/>
      <c r="X41" s="198" t="s">
        <v>71</v>
      </c>
      <c r="Y41" s="198"/>
      <c r="Z41" s="198"/>
      <c r="AA41" s="198"/>
      <c r="AB41" s="198"/>
    </row>
    <row r="42" spans="1:28" ht="10.9" customHeight="1" x14ac:dyDescent="0.2">
      <c r="A42" s="97" t="s">
        <v>11</v>
      </c>
      <c r="B42" s="98" t="s">
        <v>47</v>
      </c>
      <c r="C42" s="94"/>
      <c r="D42" s="94"/>
      <c r="E42" s="94"/>
      <c r="F42" s="95">
        <f>+L21</f>
        <v>0</v>
      </c>
      <c r="G42" s="96" t="s">
        <v>53</v>
      </c>
      <c r="H42" s="99" t="s">
        <v>52</v>
      </c>
      <c r="I42" s="99" t="s">
        <v>1</v>
      </c>
      <c r="J42" s="99" t="s">
        <v>2</v>
      </c>
      <c r="K42" s="100"/>
      <c r="L42" s="102" t="s">
        <v>52</v>
      </c>
      <c r="M42" s="103" t="s">
        <v>35</v>
      </c>
      <c r="N42" s="102" t="s">
        <v>1</v>
      </c>
      <c r="O42" s="103" t="s">
        <v>68</v>
      </c>
      <c r="P42" s="103" t="s">
        <v>2</v>
      </c>
      <c r="Q42" s="171" t="s">
        <v>78</v>
      </c>
      <c r="R42" s="171" t="s">
        <v>60</v>
      </c>
      <c r="S42" s="104" t="s">
        <v>9</v>
      </c>
      <c r="T42" s="105" t="s">
        <v>76</v>
      </c>
      <c r="U42" s="106" t="s">
        <v>10</v>
      </c>
      <c r="V42" s="101" t="s">
        <v>56</v>
      </c>
      <c r="W42" s="101" t="s">
        <v>57</v>
      </c>
      <c r="X42" s="136" t="s">
        <v>58</v>
      </c>
      <c r="Y42" s="136" t="s">
        <v>70</v>
      </c>
      <c r="Z42" s="136" t="s">
        <v>62</v>
      </c>
      <c r="AA42" s="136" t="s">
        <v>74</v>
      </c>
      <c r="AB42" s="136" t="s">
        <v>59</v>
      </c>
    </row>
    <row r="43" spans="1:28" ht="10.9" customHeight="1" x14ac:dyDescent="0.2">
      <c r="A43" s="97" t="s">
        <v>11</v>
      </c>
      <c r="B43" s="98" t="s">
        <v>13</v>
      </c>
      <c r="C43" s="98"/>
      <c r="D43" s="98"/>
      <c r="E43" s="98"/>
      <c r="F43" s="95">
        <f>+M14</f>
        <v>0</v>
      </c>
      <c r="G43" s="100" t="s">
        <v>22</v>
      </c>
      <c r="H43" s="107">
        <v>0</v>
      </c>
      <c r="I43" s="107">
        <f t="shared" ref="I43:I54" si="13">ROUND((H43*0.19),0)</f>
        <v>0</v>
      </c>
      <c r="J43" s="107">
        <f>SUM(H43:I43)</f>
        <v>0</v>
      </c>
      <c r="K43" s="100"/>
      <c r="L43" s="110">
        <v>0</v>
      </c>
      <c r="M43" s="110">
        <v>0</v>
      </c>
      <c r="N43" s="110">
        <v>0</v>
      </c>
      <c r="O43" s="111">
        <v>0</v>
      </c>
      <c r="P43" s="111">
        <f>SUM(L43:O43)</f>
        <v>0</v>
      </c>
      <c r="Q43" s="172">
        <v>0</v>
      </c>
      <c r="R43" s="172">
        <v>0</v>
      </c>
      <c r="S43" s="112">
        <v>0</v>
      </c>
      <c r="T43" s="112">
        <f>+S43*0.1225</f>
        <v>0</v>
      </c>
      <c r="U43" s="112">
        <f t="shared" ref="U43:U54" si="14">+S43-T43</f>
        <v>0</v>
      </c>
      <c r="V43" s="108"/>
      <c r="W43" s="109">
        <f t="shared" ref="W43:W54" si="15">ROUND((H43*V43),2)</f>
        <v>0</v>
      </c>
      <c r="X43" s="137">
        <v>0</v>
      </c>
      <c r="Y43" s="137">
        <v>0</v>
      </c>
      <c r="Z43" s="137">
        <v>0</v>
      </c>
      <c r="AA43" s="137">
        <v>0</v>
      </c>
      <c r="AB43" s="137">
        <v>0</v>
      </c>
    </row>
    <row r="44" spans="1:28" ht="10.9" customHeight="1" x14ac:dyDescent="0.2">
      <c r="A44" s="97" t="s">
        <v>11</v>
      </c>
      <c r="B44" s="113" t="s">
        <v>45</v>
      </c>
      <c r="C44" s="98"/>
      <c r="D44" s="98"/>
      <c r="E44" s="98"/>
      <c r="F44" s="114">
        <f>+M17</f>
        <v>0</v>
      </c>
      <c r="G44" s="100" t="s">
        <v>23</v>
      </c>
      <c r="H44" s="107">
        <v>0</v>
      </c>
      <c r="I44" s="107">
        <f t="shared" si="13"/>
        <v>0</v>
      </c>
      <c r="J44" s="107">
        <f t="shared" ref="J44:J54" si="16">SUM(H44:I44)</f>
        <v>0</v>
      </c>
      <c r="K44" s="100"/>
      <c r="L44" s="110">
        <v>0</v>
      </c>
      <c r="M44" s="110">
        <v>0</v>
      </c>
      <c r="N44" s="110">
        <v>0</v>
      </c>
      <c r="O44" s="111">
        <v>0</v>
      </c>
      <c r="P44" s="111">
        <f t="shared" ref="P44:P54" si="17">SUM(L44:O44)</f>
        <v>0</v>
      </c>
      <c r="Q44" s="172">
        <v>0</v>
      </c>
      <c r="R44" s="172">
        <v>0</v>
      </c>
      <c r="S44" s="112">
        <v>0</v>
      </c>
      <c r="T44" s="112">
        <f t="shared" ref="T44:T54" si="18">+S44*0.1225</f>
        <v>0</v>
      </c>
      <c r="U44" s="112">
        <f t="shared" si="14"/>
        <v>0</v>
      </c>
      <c r="V44" s="108"/>
      <c r="W44" s="109">
        <f t="shared" si="15"/>
        <v>0</v>
      </c>
      <c r="X44" s="137">
        <v>0</v>
      </c>
      <c r="Y44" s="137">
        <v>0</v>
      </c>
      <c r="Z44" s="137">
        <v>0</v>
      </c>
      <c r="AA44" s="137">
        <v>0</v>
      </c>
      <c r="AB44" s="137">
        <v>0</v>
      </c>
    </row>
    <row r="45" spans="1:28" s="17" customFormat="1" ht="10.9" customHeight="1" x14ac:dyDescent="0.2">
      <c r="A45" s="97" t="s">
        <v>11</v>
      </c>
      <c r="B45" s="115" t="s">
        <v>65</v>
      </c>
      <c r="C45" s="115"/>
      <c r="D45" s="98"/>
      <c r="E45" s="98"/>
      <c r="F45" s="116">
        <v>0</v>
      </c>
      <c r="G45" s="100" t="s">
        <v>24</v>
      </c>
      <c r="H45" s="107">
        <v>0</v>
      </c>
      <c r="I45" s="107">
        <f t="shared" si="13"/>
        <v>0</v>
      </c>
      <c r="J45" s="107">
        <f t="shared" si="16"/>
        <v>0</v>
      </c>
      <c r="K45" s="100"/>
      <c r="L45" s="110">
        <v>0</v>
      </c>
      <c r="M45" s="110">
        <v>0</v>
      </c>
      <c r="N45" s="110">
        <v>0</v>
      </c>
      <c r="O45" s="111">
        <v>0</v>
      </c>
      <c r="P45" s="111">
        <f t="shared" si="17"/>
        <v>0</v>
      </c>
      <c r="Q45" s="172">
        <v>0</v>
      </c>
      <c r="R45" s="172">
        <v>0</v>
      </c>
      <c r="S45" s="112">
        <v>0</v>
      </c>
      <c r="T45" s="112">
        <f t="shared" si="18"/>
        <v>0</v>
      </c>
      <c r="U45" s="112">
        <f t="shared" si="14"/>
        <v>0</v>
      </c>
      <c r="V45" s="108"/>
      <c r="W45" s="109">
        <f t="shared" si="15"/>
        <v>0</v>
      </c>
      <c r="X45" s="137">
        <v>0</v>
      </c>
      <c r="Y45" s="137">
        <v>0</v>
      </c>
      <c r="Z45" s="137">
        <v>0</v>
      </c>
      <c r="AA45" s="137">
        <v>0</v>
      </c>
      <c r="AB45" s="137">
        <v>0</v>
      </c>
    </row>
    <row r="46" spans="1:28" s="17" customFormat="1" ht="10.9" customHeight="1" x14ac:dyDescent="0.2">
      <c r="A46" s="97" t="s">
        <v>11</v>
      </c>
      <c r="B46" s="98" t="s">
        <v>63</v>
      </c>
      <c r="C46" s="98"/>
      <c r="D46" s="98"/>
      <c r="E46" s="98"/>
      <c r="F46" s="117">
        <f>SUM(F43:F44)</f>
        <v>0</v>
      </c>
      <c r="G46" s="100" t="s">
        <v>25</v>
      </c>
      <c r="H46" s="107">
        <v>0</v>
      </c>
      <c r="I46" s="107">
        <f t="shared" si="13"/>
        <v>0</v>
      </c>
      <c r="J46" s="107">
        <f t="shared" si="16"/>
        <v>0</v>
      </c>
      <c r="K46" s="107"/>
      <c r="L46" s="110">
        <v>0</v>
      </c>
      <c r="M46" s="110">
        <v>0</v>
      </c>
      <c r="N46" s="110">
        <v>0</v>
      </c>
      <c r="O46" s="111">
        <v>0</v>
      </c>
      <c r="P46" s="111">
        <f t="shared" si="17"/>
        <v>0</v>
      </c>
      <c r="Q46" s="172">
        <v>0</v>
      </c>
      <c r="R46" s="172">
        <v>0</v>
      </c>
      <c r="S46" s="112">
        <v>0</v>
      </c>
      <c r="T46" s="112">
        <f t="shared" si="18"/>
        <v>0</v>
      </c>
      <c r="U46" s="112">
        <f t="shared" si="14"/>
        <v>0</v>
      </c>
      <c r="V46" s="108"/>
      <c r="W46" s="109">
        <f t="shared" si="15"/>
        <v>0</v>
      </c>
      <c r="X46" s="137">
        <v>0</v>
      </c>
      <c r="Y46" s="137">
        <v>0</v>
      </c>
      <c r="Z46" s="137">
        <v>0</v>
      </c>
      <c r="AA46" s="137">
        <v>0</v>
      </c>
      <c r="AB46" s="137">
        <v>0</v>
      </c>
    </row>
    <row r="47" spans="1:28" s="17" customFormat="1" ht="10.9" customHeight="1" x14ac:dyDescent="0.2">
      <c r="A47" s="97" t="s">
        <v>11</v>
      </c>
      <c r="B47" s="113" t="s">
        <v>14</v>
      </c>
      <c r="C47" s="98"/>
      <c r="D47" s="98"/>
      <c r="E47" s="98"/>
      <c r="F47" s="114">
        <f>-N29</f>
        <v>-14456</v>
      </c>
      <c r="G47" s="100" t="s">
        <v>26</v>
      </c>
      <c r="H47" s="107">
        <v>0</v>
      </c>
      <c r="I47" s="107">
        <f t="shared" si="13"/>
        <v>0</v>
      </c>
      <c r="J47" s="107">
        <f t="shared" si="16"/>
        <v>0</v>
      </c>
      <c r="K47" s="107"/>
      <c r="L47" s="110">
        <v>0</v>
      </c>
      <c r="M47" s="110">
        <v>0</v>
      </c>
      <c r="N47" s="110">
        <v>0</v>
      </c>
      <c r="O47" s="111">
        <v>0</v>
      </c>
      <c r="P47" s="111">
        <f t="shared" si="17"/>
        <v>0</v>
      </c>
      <c r="Q47" s="172">
        <v>0</v>
      </c>
      <c r="R47" s="172">
        <v>0</v>
      </c>
      <c r="S47" s="112">
        <v>0</v>
      </c>
      <c r="T47" s="112">
        <f t="shared" si="18"/>
        <v>0</v>
      </c>
      <c r="U47" s="112">
        <f t="shared" si="14"/>
        <v>0</v>
      </c>
      <c r="V47" s="108"/>
      <c r="W47" s="109">
        <f t="shared" si="15"/>
        <v>0</v>
      </c>
      <c r="X47" s="137">
        <v>0</v>
      </c>
      <c r="Y47" s="137">
        <v>0</v>
      </c>
      <c r="Z47" s="137">
        <v>0</v>
      </c>
      <c r="AA47" s="137">
        <v>0</v>
      </c>
      <c r="AB47" s="137">
        <v>0</v>
      </c>
    </row>
    <row r="48" spans="1:28" s="17" customFormat="1" ht="10.9" customHeight="1" x14ac:dyDescent="0.2">
      <c r="A48" s="97" t="s">
        <v>11</v>
      </c>
      <c r="B48" s="98" t="s">
        <v>46</v>
      </c>
      <c r="C48" s="98"/>
      <c r="D48" s="98"/>
      <c r="E48" s="98"/>
      <c r="F48" s="95">
        <f>-N32</f>
        <v>0</v>
      </c>
      <c r="G48" s="100" t="s">
        <v>27</v>
      </c>
      <c r="H48" s="107">
        <v>0</v>
      </c>
      <c r="I48" s="107">
        <f t="shared" si="13"/>
        <v>0</v>
      </c>
      <c r="J48" s="107">
        <f t="shared" si="16"/>
        <v>0</v>
      </c>
      <c r="K48" s="107"/>
      <c r="L48" s="110">
        <v>0</v>
      </c>
      <c r="M48" s="110">
        <v>0</v>
      </c>
      <c r="N48" s="110">
        <v>0</v>
      </c>
      <c r="O48" s="111">
        <v>0</v>
      </c>
      <c r="P48" s="111">
        <f t="shared" si="17"/>
        <v>0</v>
      </c>
      <c r="Q48" s="172">
        <v>0</v>
      </c>
      <c r="R48" s="172">
        <v>0</v>
      </c>
      <c r="S48" s="112">
        <v>0</v>
      </c>
      <c r="T48" s="112">
        <f t="shared" si="18"/>
        <v>0</v>
      </c>
      <c r="U48" s="112">
        <f t="shared" si="14"/>
        <v>0</v>
      </c>
      <c r="V48" s="108"/>
      <c r="W48" s="109">
        <f t="shared" si="15"/>
        <v>0</v>
      </c>
      <c r="X48" s="137">
        <v>0</v>
      </c>
      <c r="Y48" s="137">
        <v>0</v>
      </c>
      <c r="Z48" s="137">
        <v>0</v>
      </c>
      <c r="AA48" s="137">
        <v>0</v>
      </c>
      <c r="AB48" s="137">
        <v>0</v>
      </c>
    </row>
    <row r="49" spans="1:35" s="17" customFormat="1" ht="10.9" customHeight="1" x14ac:dyDescent="0.2">
      <c r="A49" s="97" t="s">
        <v>11</v>
      </c>
      <c r="B49" s="98" t="s">
        <v>15</v>
      </c>
      <c r="C49" s="98"/>
      <c r="D49" s="98"/>
      <c r="E49" s="98"/>
      <c r="F49" s="95">
        <f>SUM(F46:F48)</f>
        <v>-14456</v>
      </c>
      <c r="G49" s="100" t="s">
        <v>28</v>
      </c>
      <c r="H49" s="107">
        <v>0</v>
      </c>
      <c r="I49" s="107">
        <f t="shared" si="13"/>
        <v>0</v>
      </c>
      <c r="J49" s="107">
        <f t="shared" si="16"/>
        <v>0</v>
      </c>
      <c r="K49" s="107"/>
      <c r="L49" s="110">
        <v>0</v>
      </c>
      <c r="M49" s="110">
        <v>0</v>
      </c>
      <c r="N49" s="110">
        <v>0</v>
      </c>
      <c r="O49" s="111">
        <v>0</v>
      </c>
      <c r="P49" s="111">
        <f t="shared" si="17"/>
        <v>0</v>
      </c>
      <c r="Q49" s="172">
        <v>0</v>
      </c>
      <c r="R49" s="172">
        <v>0</v>
      </c>
      <c r="S49" s="112">
        <v>0</v>
      </c>
      <c r="T49" s="112">
        <f t="shared" si="18"/>
        <v>0</v>
      </c>
      <c r="U49" s="112">
        <f t="shared" si="14"/>
        <v>0</v>
      </c>
      <c r="V49" s="108"/>
      <c r="W49" s="109">
        <f t="shared" si="15"/>
        <v>0</v>
      </c>
      <c r="X49" s="137">
        <v>0</v>
      </c>
      <c r="Y49" s="137">
        <v>0</v>
      </c>
      <c r="Z49" s="137">
        <v>0</v>
      </c>
      <c r="AA49" s="137">
        <v>0</v>
      </c>
      <c r="AB49" s="137">
        <v>0</v>
      </c>
    </row>
    <row r="50" spans="1:35" s="17" customFormat="1" ht="10.9" customHeight="1" x14ac:dyDescent="0.2">
      <c r="A50" s="97" t="s">
        <v>11</v>
      </c>
      <c r="B50" s="98" t="s">
        <v>34</v>
      </c>
      <c r="C50" s="98"/>
      <c r="D50" s="98"/>
      <c r="E50" s="98"/>
      <c r="F50" s="95">
        <f>+M39</f>
        <v>0</v>
      </c>
      <c r="G50" s="100" t="s">
        <v>29</v>
      </c>
      <c r="H50" s="107">
        <v>0</v>
      </c>
      <c r="I50" s="107">
        <f t="shared" si="13"/>
        <v>0</v>
      </c>
      <c r="J50" s="107">
        <f t="shared" si="16"/>
        <v>0</v>
      </c>
      <c r="K50" s="107"/>
      <c r="L50" s="110">
        <v>0</v>
      </c>
      <c r="M50" s="110">
        <v>0</v>
      </c>
      <c r="N50" s="110">
        <v>0</v>
      </c>
      <c r="O50" s="111">
        <v>0</v>
      </c>
      <c r="P50" s="111">
        <f t="shared" si="17"/>
        <v>0</v>
      </c>
      <c r="Q50" s="172">
        <v>0</v>
      </c>
      <c r="R50" s="172">
        <v>0</v>
      </c>
      <c r="S50" s="112">
        <v>0</v>
      </c>
      <c r="T50" s="112">
        <f t="shared" si="18"/>
        <v>0</v>
      </c>
      <c r="U50" s="112">
        <f t="shared" si="14"/>
        <v>0</v>
      </c>
      <c r="V50" s="108"/>
      <c r="W50" s="109">
        <f t="shared" si="15"/>
        <v>0</v>
      </c>
      <c r="X50" s="137">
        <v>0</v>
      </c>
      <c r="Y50" s="137">
        <v>0</v>
      </c>
      <c r="Z50" s="137">
        <v>0</v>
      </c>
      <c r="AA50" s="137">
        <v>0</v>
      </c>
      <c r="AB50" s="137">
        <v>0</v>
      </c>
    </row>
    <row r="51" spans="1:35" s="17" customFormat="1" ht="10.9" customHeight="1" x14ac:dyDescent="0.2">
      <c r="A51" s="97" t="s">
        <v>11</v>
      </c>
      <c r="B51" s="98" t="s">
        <v>12</v>
      </c>
      <c r="C51" s="98"/>
      <c r="D51" s="118">
        <v>0.05</v>
      </c>
      <c r="E51" s="98"/>
      <c r="F51" s="95">
        <f>ROUND((L21*D51),0)</f>
        <v>0</v>
      </c>
      <c r="G51" s="100" t="s">
        <v>30</v>
      </c>
      <c r="H51" s="107">
        <v>0</v>
      </c>
      <c r="I51" s="107">
        <f t="shared" si="13"/>
        <v>0</v>
      </c>
      <c r="J51" s="107">
        <f t="shared" si="16"/>
        <v>0</v>
      </c>
      <c r="K51" s="107"/>
      <c r="L51" s="110">
        <v>76082</v>
      </c>
      <c r="M51" s="110">
        <v>146370</v>
      </c>
      <c r="N51" s="110">
        <v>14456</v>
      </c>
      <c r="O51" s="111">
        <v>0</v>
      </c>
      <c r="P51" s="111">
        <f t="shared" si="17"/>
        <v>236908</v>
      </c>
      <c r="Q51" s="172">
        <v>0</v>
      </c>
      <c r="R51" s="172">
        <v>0</v>
      </c>
      <c r="S51" s="112">
        <v>0</v>
      </c>
      <c r="T51" s="112">
        <f t="shared" si="18"/>
        <v>0</v>
      </c>
      <c r="U51" s="112">
        <f t="shared" si="14"/>
        <v>0</v>
      </c>
      <c r="V51" s="108"/>
      <c r="W51" s="109">
        <f t="shared" si="15"/>
        <v>0</v>
      </c>
      <c r="X51" s="137">
        <v>0</v>
      </c>
      <c r="Y51" s="137">
        <v>0</v>
      </c>
      <c r="Z51" s="137">
        <v>48000</v>
      </c>
      <c r="AA51" s="137">
        <v>0</v>
      </c>
      <c r="AB51" s="137">
        <v>0</v>
      </c>
    </row>
    <row r="52" spans="1:35" s="17" customFormat="1" ht="10.9" customHeight="1" x14ac:dyDescent="0.2">
      <c r="A52" s="97" t="s">
        <v>11</v>
      </c>
      <c r="B52" s="119" t="s">
        <v>67</v>
      </c>
      <c r="C52" s="120"/>
      <c r="D52" s="120"/>
      <c r="E52" s="98"/>
      <c r="F52" s="121">
        <v>0</v>
      </c>
      <c r="G52" s="100" t="s">
        <v>31</v>
      </c>
      <c r="H52" s="107">
        <v>0</v>
      </c>
      <c r="I52" s="107">
        <f t="shared" si="13"/>
        <v>0</v>
      </c>
      <c r="J52" s="107">
        <f t="shared" si="16"/>
        <v>0</v>
      </c>
      <c r="K52" s="107"/>
      <c r="L52" s="110">
        <v>0</v>
      </c>
      <c r="M52" s="110">
        <v>0</v>
      </c>
      <c r="N52" s="110">
        <v>0</v>
      </c>
      <c r="O52" s="111">
        <v>0</v>
      </c>
      <c r="P52" s="111">
        <f t="shared" si="17"/>
        <v>0</v>
      </c>
      <c r="Q52" s="172">
        <v>0</v>
      </c>
      <c r="R52" s="172">
        <v>0</v>
      </c>
      <c r="S52" s="112">
        <v>0</v>
      </c>
      <c r="T52" s="112">
        <f t="shared" si="18"/>
        <v>0</v>
      </c>
      <c r="U52" s="112">
        <f t="shared" si="14"/>
        <v>0</v>
      </c>
      <c r="V52" s="108"/>
      <c r="W52" s="109">
        <f t="shared" si="15"/>
        <v>0</v>
      </c>
      <c r="X52" s="137">
        <v>0</v>
      </c>
      <c r="Y52" s="137">
        <v>0</v>
      </c>
      <c r="Z52" s="137">
        <v>0</v>
      </c>
      <c r="AA52" s="137">
        <v>0</v>
      </c>
      <c r="AB52" s="137">
        <v>0</v>
      </c>
    </row>
    <row r="53" spans="1:35" s="17" customFormat="1" ht="10.9" customHeight="1" x14ac:dyDescent="0.2">
      <c r="A53" s="97" t="s">
        <v>11</v>
      </c>
      <c r="B53" s="120" t="s">
        <v>19</v>
      </c>
      <c r="C53" s="120"/>
      <c r="D53" s="120"/>
      <c r="E53" s="98"/>
      <c r="F53" s="122">
        <f>SUM(F49:F51)</f>
        <v>-14456</v>
      </c>
      <c r="G53" s="100" t="s">
        <v>32</v>
      </c>
      <c r="H53" s="107">
        <v>0</v>
      </c>
      <c r="I53" s="107">
        <f t="shared" si="13"/>
        <v>0</v>
      </c>
      <c r="J53" s="107">
        <f t="shared" si="16"/>
        <v>0</v>
      </c>
      <c r="K53" s="107"/>
      <c r="L53" s="110">
        <v>0</v>
      </c>
      <c r="M53" s="110">
        <v>0</v>
      </c>
      <c r="N53" s="110">
        <v>0</v>
      </c>
      <c r="O53" s="111">
        <v>0</v>
      </c>
      <c r="P53" s="111">
        <f t="shared" si="17"/>
        <v>0</v>
      </c>
      <c r="Q53" s="172">
        <v>0</v>
      </c>
      <c r="R53" s="172">
        <v>0</v>
      </c>
      <c r="S53" s="112">
        <v>0</v>
      </c>
      <c r="T53" s="112">
        <f t="shared" si="18"/>
        <v>0</v>
      </c>
      <c r="U53" s="112">
        <f t="shared" si="14"/>
        <v>0</v>
      </c>
      <c r="V53" s="108"/>
      <c r="W53" s="109">
        <f t="shared" si="15"/>
        <v>0</v>
      </c>
      <c r="X53" s="137">
        <v>0</v>
      </c>
      <c r="Y53" s="137">
        <v>0</v>
      </c>
      <c r="Z53" s="137">
        <v>0</v>
      </c>
      <c r="AA53" s="137">
        <v>0</v>
      </c>
      <c r="AB53" s="137">
        <v>0</v>
      </c>
    </row>
    <row r="54" spans="1:35" s="17" customFormat="1" ht="10.9" customHeight="1" x14ac:dyDescent="0.2">
      <c r="A54" s="123" t="s">
        <v>20</v>
      </c>
      <c r="B54" s="124"/>
      <c r="C54" s="124"/>
      <c r="D54" s="124"/>
      <c r="E54" s="124"/>
      <c r="F54" s="125">
        <f>+F49+F51</f>
        <v>-14456</v>
      </c>
      <c r="G54" s="100" t="s">
        <v>33</v>
      </c>
      <c r="H54" s="107">
        <v>0</v>
      </c>
      <c r="I54" s="107">
        <f t="shared" si="13"/>
        <v>0</v>
      </c>
      <c r="J54" s="107">
        <f t="shared" si="16"/>
        <v>0</v>
      </c>
      <c r="K54" s="107"/>
      <c r="L54" s="110">
        <v>0</v>
      </c>
      <c r="M54" s="110">
        <v>0</v>
      </c>
      <c r="N54" s="110">
        <v>0</v>
      </c>
      <c r="O54" s="111">
        <v>0</v>
      </c>
      <c r="P54" s="111">
        <f t="shared" si="17"/>
        <v>0</v>
      </c>
      <c r="Q54" s="172">
        <v>0</v>
      </c>
      <c r="R54" s="172">
        <v>0</v>
      </c>
      <c r="S54" s="112">
        <v>0</v>
      </c>
      <c r="T54" s="112">
        <f t="shared" si="18"/>
        <v>0</v>
      </c>
      <c r="U54" s="112">
        <f t="shared" si="14"/>
        <v>0</v>
      </c>
      <c r="V54" s="108"/>
      <c r="W54" s="109">
        <f t="shared" si="15"/>
        <v>0</v>
      </c>
      <c r="X54" s="137">
        <v>0</v>
      </c>
      <c r="Y54" s="137">
        <v>0</v>
      </c>
      <c r="Z54" s="137">
        <v>0</v>
      </c>
      <c r="AA54" s="137">
        <v>0</v>
      </c>
      <c r="AB54" s="137">
        <v>0</v>
      </c>
    </row>
    <row r="55" spans="1:35" s="17" customFormat="1" ht="10.9" customHeight="1" x14ac:dyDescent="0.2">
      <c r="A55" s="123" t="s">
        <v>21</v>
      </c>
      <c r="B55" s="124"/>
      <c r="C55" s="124"/>
      <c r="D55" s="124"/>
      <c r="E55" s="124"/>
      <c r="F55" s="126" t="e">
        <f>+F54/L21</f>
        <v>#DIV/0!</v>
      </c>
      <c r="G55" s="127" t="s">
        <v>36</v>
      </c>
      <c r="H55" s="128">
        <f>SUM(H43:H54)</f>
        <v>0</v>
      </c>
      <c r="I55" s="128">
        <f>SUM(I43:I54)</f>
        <v>0</v>
      </c>
      <c r="J55" s="128">
        <f>SUM(J43:J54)</f>
        <v>0</v>
      </c>
      <c r="K55" s="107"/>
      <c r="L55" s="130">
        <f>SUM(L43:L54)</f>
        <v>76082</v>
      </c>
      <c r="M55" s="130">
        <f t="shared" ref="M55:P55" si="19">SUM(M43:M54)</f>
        <v>146370</v>
      </c>
      <c r="N55" s="130">
        <f t="shared" si="19"/>
        <v>14456</v>
      </c>
      <c r="O55" s="130">
        <f t="shared" si="19"/>
        <v>0</v>
      </c>
      <c r="P55" s="130">
        <f t="shared" si="19"/>
        <v>236908</v>
      </c>
      <c r="Q55" s="173">
        <f>SUM(Q43:Q54)</f>
        <v>0</v>
      </c>
      <c r="R55" s="173">
        <f>SUM(R43:R54)</f>
        <v>0</v>
      </c>
      <c r="S55" s="131">
        <f>SUM(S43:S54)</f>
        <v>0</v>
      </c>
      <c r="T55" s="131">
        <f t="shared" ref="T55:U55" si="20">SUM(T43:T54)</f>
        <v>0</v>
      </c>
      <c r="U55" s="131">
        <f t="shared" si="20"/>
        <v>0</v>
      </c>
      <c r="V55" s="158">
        <f>SUM(V43:V54)</f>
        <v>0</v>
      </c>
      <c r="W55" s="129">
        <f>SUM(W43:W54)</f>
        <v>0</v>
      </c>
      <c r="X55" s="138">
        <f>SUM(X43:X54)</f>
        <v>0</v>
      </c>
      <c r="Y55" s="138">
        <f t="shared" ref="Y55:AB55" si="21">SUM(Y43:Y54)</f>
        <v>0</v>
      </c>
      <c r="Z55" s="138">
        <f t="shared" si="21"/>
        <v>48000</v>
      </c>
      <c r="AA55" s="138">
        <f>SUM(AA43:AA54)</f>
        <v>0</v>
      </c>
      <c r="AB55" s="138">
        <f t="shared" si="21"/>
        <v>0</v>
      </c>
    </row>
    <row r="56" spans="1:35" s="17" customFormat="1" ht="10.9" customHeight="1" x14ac:dyDescent="0.2">
      <c r="A56" s="132" t="s">
        <v>64</v>
      </c>
      <c r="B56" s="133"/>
      <c r="C56" s="133"/>
      <c r="D56" s="133"/>
      <c r="E56" s="133"/>
      <c r="F56" s="134" t="e">
        <f>+F49/L21</f>
        <v>#DIV/0!</v>
      </c>
      <c r="G56" s="159" t="s">
        <v>54</v>
      </c>
      <c r="H56" s="160">
        <f>+H55/1</f>
        <v>0</v>
      </c>
      <c r="I56" s="160">
        <f>+I55/1</f>
        <v>0</v>
      </c>
      <c r="J56" s="160">
        <f>+J55/1</f>
        <v>0</v>
      </c>
      <c r="K56" s="159"/>
      <c r="L56" s="163">
        <f t="shared" ref="L56:W56" si="22">+L55/1</f>
        <v>76082</v>
      </c>
      <c r="M56" s="163">
        <f t="shared" si="22"/>
        <v>146370</v>
      </c>
      <c r="N56" s="163">
        <f t="shared" si="22"/>
        <v>14456</v>
      </c>
      <c r="O56" s="163">
        <f t="shared" si="22"/>
        <v>0</v>
      </c>
      <c r="P56" s="163">
        <f t="shared" si="22"/>
        <v>236908</v>
      </c>
      <c r="Q56" s="174">
        <f t="shared" si="22"/>
        <v>0</v>
      </c>
      <c r="R56" s="174">
        <f t="shared" si="22"/>
        <v>0</v>
      </c>
      <c r="S56" s="164">
        <f t="shared" si="22"/>
        <v>0</v>
      </c>
      <c r="T56" s="164">
        <f t="shared" si="22"/>
        <v>0</v>
      </c>
      <c r="U56" s="164">
        <f t="shared" si="22"/>
        <v>0</v>
      </c>
      <c r="V56" s="161">
        <f t="shared" si="22"/>
        <v>0</v>
      </c>
      <c r="W56" s="162">
        <f t="shared" si="22"/>
        <v>0</v>
      </c>
      <c r="X56" s="165">
        <f t="shared" ref="X56:AB56" si="23">+X55/1</f>
        <v>0</v>
      </c>
      <c r="Y56" s="165">
        <f t="shared" si="23"/>
        <v>0</v>
      </c>
      <c r="Z56" s="165">
        <f t="shared" si="23"/>
        <v>48000</v>
      </c>
      <c r="AA56" s="165">
        <f t="shared" si="23"/>
        <v>0</v>
      </c>
      <c r="AB56" s="165">
        <f t="shared" si="23"/>
        <v>0</v>
      </c>
    </row>
    <row r="57" spans="1:35" s="17" customFormat="1" ht="10.9" customHeight="1" x14ac:dyDescent="0.2">
      <c r="A57" s="15"/>
      <c r="B57" s="15"/>
      <c r="C57" s="15"/>
      <c r="D57" s="15"/>
      <c r="E57" s="15"/>
      <c r="F57" s="15"/>
      <c r="G57" s="15"/>
      <c r="Q57" s="15"/>
      <c r="R57" s="15"/>
      <c r="T57" s="15"/>
      <c r="U57" s="15"/>
    </row>
    <row r="58" spans="1:35" ht="10.9" customHeight="1" x14ac:dyDescent="0.2">
      <c r="X58" s="135"/>
      <c r="AB58" s="135"/>
      <c r="AD58" s="17"/>
      <c r="AF58" s="135"/>
      <c r="AI58" s="135">
        <v>-4.5</v>
      </c>
    </row>
    <row r="59" spans="1:35" ht="10.9" customHeight="1" x14ac:dyDescent="0.2">
      <c r="AD59" s="17"/>
    </row>
  </sheetData>
  <mergeCells count="12">
    <mergeCell ref="V41:W41"/>
    <mergeCell ref="S41:U41"/>
    <mergeCell ref="X41:AB41"/>
    <mergeCell ref="B3:D3"/>
    <mergeCell ref="E3:F3"/>
    <mergeCell ref="E4:F4"/>
    <mergeCell ref="E24:F24"/>
    <mergeCell ref="E36:F36"/>
    <mergeCell ref="G41:K41"/>
    <mergeCell ref="A41:F41"/>
    <mergeCell ref="Q41:R41"/>
    <mergeCell ref="L41:P41"/>
  </mergeCells>
  <pageMargins left="0.7" right="0.7" top="0.75" bottom="0.75" header="0.3" footer="0.3"/>
  <pageSetup paperSize="268" orientation="portrait" r:id="rId1"/>
  <ignoredErrors>
    <ignoredError sqref="M14:N14 N33 M17 P29" formula="1"/>
    <ignoredError sqref="P25:P28 L30:P30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 22</vt:lpstr>
      <vt:lpstr>Nov 22</vt:lpstr>
      <vt:lpstr>Oct 22</vt:lpstr>
      <vt:lpstr>Sep 22</vt:lpstr>
    </vt:vector>
  </TitlesOfParts>
  <Company>Agf 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Agf Allianz</dc:creator>
  <cp:lastModifiedBy>Patricio Brzovic</cp:lastModifiedBy>
  <cp:lastPrinted>2017-08-31T19:05:42Z</cp:lastPrinted>
  <dcterms:created xsi:type="dcterms:W3CDTF">2003-08-17T21:10:14Z</dcterms:created>
  <dcterms:modified xsi:type="dcterms:W3CDTF">2023-04-19T22:26:46Z</dcterms:modified>
</cp:coreProperties>
</file>